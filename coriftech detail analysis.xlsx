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hidePivotFieldList="1"/>
  <mc:AlternateContent xmlns:mc="http://schemas.openxmlformats.org/markup-compatibility/2006">
    <mc:Choice Requires="x15">
      <x15ac:absPath xmlns:x15ac="http://schemas.microsoft.com/office/spreadsheetml/2010/11/ac" url="https://d.docs.live.net/2e585327e0fb413a/Documents/"/>
    </mc:Choice>
  </mc:AlternateContent>
  <xr:revisionPtr revIDLastSave="0" documentId="8_{2A64FF15-EBF0-48DF-8490-0E424213B686}" xr6:coauthVersionLast="47" xr6:coauthVersionMax="47" xr10:uidLastSave="{00000000-0000-0000-0000-000000000000}"/>
  <bookViews>
    <workbookView xWindow="-110" yWindow="-110" windowWidth="19420" windowHeight="10300" firstSheet="8" activeTab="10" xr2:uid="{00000000-000D-0000-FFFF-FFFF00000000}"/>
  </bookViews>
  <sheets>
    <sheet name="DEPOSITD BY PAYMENT METHOD" sheetId="5" r:id="rId1"/>
    <sheet name="Sheet4" sheetId="6" state="hidden" r:id="rId2"/>
    <sheet name="Raw Data " sheetId="1" r:id="rId3"/>
    <sheet name="Transaction ID Record" sheetId="2" r:id="rId4"/>
    <sheet name="DEPOSITE BY BANK" sheetId="15" r:id="rId5"/>
    <sheet name="CLEANED DATA" sheetId="3" r:id="rId6"/>
    <sheet name="DEPOSITE BY GENDER" sheetId="4" r:id="rId7"/>
    <sheet name="TOP FIVE CUSTOMER" sheetId="14" r:id="rId8"/>
    <sheet name="DEPOSITE PAYMENT ACROSS MONTH" sheetId="9" r:id="rId9"/>
    <sheet name="DEPOSITE PER  AGE GROUP" sheetId="10" r:id="rId10"/>
    <sheet name="DASHBOARD" sheetId="11" r:id="rId11"/>
  </sheets>
  <definedNames>
    <definedName name="Deposite_recored">Table1[#All]</definedName>
    <definedName name="Slicer_AGE">#N/A</definedName>
    <definedName name="Slicer_GENDER">#N/A</definedName>
    <definedName name="Slicer_MONTH">#N/A</definedName>
    <definedName name="Slicer_PAYMENT_METHOD">#N/A</definedName>
  </definedNames>
  <calcPr calcId="191029"/>
  <pivotCaches>
    <pivotCache cacheId="10" r:id="rId12"/>
    <pivotCache cacheId="11" r:id="rId13"/>
    <pivotCache cacheId="12" r:id="rId14"/>
  </pivotCaches>
  <extLs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 i="3" l="1"/>
  <c r="K402" i="3"/>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A2" i="3" l="1"/>
  <c r="D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K502" i="3"/>
  <c r="K503" i="3"/>
  <c r="K504" i="3"/>
  <c r="K505" i="3"/>
  <c r="K506" i="3"/>
  <c r="K507" i="3"/>
  <c r="K508" i="3"/>
  <c r="K509" i="3"/>
  <c r="A3" i="3"/>
  <c r="A4" i="3"/>
  <c r="A5" i="3"/>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153" i="3"/>
  <c r="A154" i="3"/>
  <c r="A155" i="3"/>
  <c r="A156" i="3"/>
  <c r="A157" i="3"/>
  <c r="A158" i="3"/>
  <c r="A159" i="3"/>
  <c r="A160" i="3"/>
  <c r="A161" i="3"/>
  <c r="A162" i="3"/>
  <c r="A163" i="3"/>
  <c r="A164" i="3"/>
  <c r="A165" i="3"/>
  <c r="A166" i="3"/>
  <c r="A167" i="3"/>
  <c r="A168" i="3"/>
  <c r="A169" i="3"/>
  <c r="A170" i="3"/>
  <c r="A171" i="3"/>
  <c r="A172" i="3"/>
  <c r="A173" i="3"/>
  <c r="A174" i="3"/>
  <c r="A175" i="3"/>
  <c r="A176" i="3"/>
  <c r="A177" i="3"/>
  <c r="A178" i="3"/>
  <c r="A179" i="3"/>
  <c r="A180" i="3"/>
  <c r="A181" i="3"/>
  <c r="A182" i="3"/>
  <c r="A183" i="3"/>
  <c r="A184" i="3"/>
  <c r="A185" i="3"/>
  <c r="A186" i="3"/>
  <c r="A187" i="3"/>
  <c r="A188" i="3"/>
  <c r="A189" i="3"/>
  <c r="A190" i="3"/>
  <c r="A191" i="3"/>
  <c r="A192" i="3"/>
  <c r="A193" i="3"/>
  <c r="A194" i="3"/>
  <c r="A195" i="3"/>
  <c r="A196" i="3"/>
  <c r="A197" i="3"/>
  <c r="A198" i="3"/>
  <c r="A199" i="3"/>
  <c r="A200" i="3"/>
  <c r="A201" i="3"/>
  <c r="A202" i="3"/>
  <c r="A203" i="3"/>
  <c r="A204" i="3"/>
  <c r="A205" i="3"/>
  <c r="A206" i="3"/>
  <c r="A207" i="3"/>
  <c r="A208" i="3"/>
  <c r="A209" i="3"/>
  <c r="A210" i="3"/>
  <c r="A211" i="3"/>
  <c r="A212" i="3"/>
  <c r="A213" i="3"/>
  <c r="A214" i="3"/>
  <c r="A215" i="3"/>
  <c r="A216" i="3"/>
  <c r="A217" i="3"/>
  <c r="A218" i="3"/>
  <c r="A219" i="3"/>
  <c r="A220" i="3"/>
  <c r="A221" i="3"/>
  <c r="A222" i="3"/>
  <c r="A223" i="3"/>
  <c r="A224" i="3"/>
  <c r="A225" i="3"/>
  <c r="A226" i="3"/>
  <c r="A227" i="3"/>
  <c r="A228" i="3"/>
  <c r="A229" i="3"/>
  <c r="A230" i="3"/>
  <c r="A231" i="3"/>
  <c r="A232" i="3"/>
  <c r="A233" i="3"/>
  <c r="A234" i="3"/>
  <c r="A235" i="3"/>
  <c r="A236" i="3"/>
  <c r="A237" i="3"/>
  <c r="A238" i="3"/>
  <c r="A239" i="3"/>
  <c r="A240" i="3"/>
  <c r="A241" i="3"/>
  <c r="A242" i="3"/>
  <c r="A243" i="3"/>
  <c r="A244" i="3"/>
  <c r="A245" i="3"/>
  <c r="A246" i="3"/>
  <c r="A247" i="3"/>
  <c r="A248" i="3"/>
  <c r="A249" i="3"/>
  <c r="A250" i="3"/>
  <c r="A251" i="3"/>
  <c r="A252" i="3"/>
  <c r="A253" i="3"/>
  <c r="A254" i="3"/>
  <c r="A255" i="3"/>
  <c r="A256" i="3"/>
  <c r="A257" i="3"/>
  <c r="A258" i="3"/>
  <c r="A259" i="3"/>
  <c r="A260" i="3"/>
  <c r="A261" i="3"/>
  <c r="A262" i="3"/>
  <c r="A263" i="3"/>
  <c r="A264" i="3"/>
  <c r="A265" i="3"/>
  <c r="A266" i="3"/>
  <c r="A267" i="3"/>
  <c r="A268" i="3"/>
  <c r="A269" i="3"/>
  <c r="A270" i="3"/>
  <c r="A271" i="3"/>
  <c r="A272" i="3"/>
  <c r="A273" i="3"/>
  <c r="A274" i="3"/>
  <c r="A275" i="3"/>
  <c r="A276" i="3"/>
  <c r="A277" i="3"/>
  <c r="A278" i="3"/>
  <c r="A279" i="3"/>
  <c r="A280" i="3"/>
  <c r="A281" i="3"/>
  <c r="A282" i="3"/>
  <c r="A283" i="3"/>
  <c r="A284" i="3"/>
  <c r="A285" i="3"/>
  <c r="A286" i="3"/>
  <c r="A287" i="3"/>
  <c r="A288" i="3"/>
  <c r="A289" i="3"/>
  <c r="A290" i="3"/>
  <c r="A291" i="3"/>
  <c r="A292" i="3"/>
  <c r="A293" i="3"/>
  <c r="A294" i="3"/>
  <c r="A295" i="3"/>
  <c r="A296" i="3"/>
  <c r="A297" i="3"/>
  <c r="A298" i="3"/>
  <c r="A299" i="3"/>
  <c r="A300" i="3"/>
  <c r="A301" i="3"/>
  <c r="A302" i="3"/>
  <c r="A303" i="3"/>
  <c r="A304" i="3"/>
  <c r="A305" i="3"/>
  <c r="A306" i="3"/>
  <c r="A307" i="3"/>
  <c r="A308" i="3"/>
  <c r="A309" i="3"/>
  <c r="A310" i="3"/>
  <c r="A311" i="3"/>
  <c r="A312" i="3"/>
  <c r="A313" i="3"/>
  <c r="A314" i="3"/>
  <c r="A315" i="3"/>
  <c r="A316" i="3"/>
  <c r="A317" i="3"/>
  <c r="A318" i="3"/>
  <c r="A319" i="3"/>
  <c r="A320" i="3"/>
  <c r="A321" i="3"/>
  <c r="A322" i="3"/>
  <c r="A323" i="3"/>
  <c r="A324" i="3"/>
  <c r="A325" i="3"/>
  <c r="A326" i="3"/>
  <c r="A327" i="3"/>
  <c r="A328" i="3"/>
  <c r="A329" i="3"/>
  <c r="A330" i="3"/>
  <c r="A331" i="3"/>
  <c r="A332" i="3"/>
  <c r="A333" i="3"/>
  <c r="A334" i="3"/>
  <c r="A335" i="3"/>
  <c r="A336" i="3"/>
  <c r="A337" i="3"/>
  <c r="A338" i="3"/>
  <c r="A339" i="3"/>
  <c r="A340" i="3"/>
  <c r="A341" i="3"/>
  <c r="A342" i="3"/>
  <c r="A343" i="3"/>
  <c r="A344" i="3"/>
  <c r="A345" i="3"/>
  <c r="A346" i="3"/>
  <c r="A347" i="3"/>
  <c r="A348" i="3"/>
  <c r="A349" i="3"/>
  <c r="A350" i="3"/>
  <c r="A351" i="3"/>
  <c r="A352" i="3"/>
  <c r="A353" i="3"/>
  <c r="A354" i="3"/>
  <c r="A355" i="3"/>
  <c r="A356" i="3"/>
  <c r="A357" i="3"/>
  <c r="A358" i="3"/>
  <c r="A359" i="3"/>
  <c r="A360" i="3"/>
  <c r="A361" i="3"/>
  <c r="A362" i="3"/>
  <c r="A363" i="3"/>
  <c r="A364" i="3"/>
  <c r="A365" i="3"/>
  <c r="A366" i="3"/>
  <c r="A367" i="3"/>
  <c r="A368" i="3"/>
  <c r="A369" i="3"/>
  <c r="A370" i="3"/>
  <c r="A371" i="3"/>
  <c r="A372" i="3"/>
  <c r="A373" i="3"/>
  <c r="A374" i="3"/>
  <c r="A375" i="3"/>
  <c r="A376" i="3"/>
  <c r="A377" i="3"/>
  <c r="A378" i="3"/>
  <c r="A379" i="3"/>
  <c r="A380" i="3"/>
  <c r="A381" i="3"/>
  <c r="A382" i="3"/>
  <c r="A383" i="3"/>
  <c r="A384" i="3"/>
  <c r="A385" i="3"/>
  <c r="A386" i="3"/>
  <c r="A387" i="3"/>
  <c r="A388" i="3"/>
  <c r="A389" i="3"/>
  <c r="A390" i="3"/>
  <c r="A391" i="3"/>
  <c r="A392" i="3"/>
  <c r="A393" i="3"/>
  <c r="A394" i="3"/>
  <c r="A395" i="3"/>
  <c r="A396" i="3"/>
  <c r="A397" i="3"/>
  <c r="A398" i="3"/>
  <c r="A399" i="3"/>
  <c r="A400" i="3"/>
  <c r="A401" i="3"/>
  <c r="A402" i="3"/>
  <c r="A403" i="3"/>
  <c r="A404" i="3"/>
  <c r="A405" i="3"/>
  <c r="A406" i="3"/>
  <c r="A407" i="3"/>
  <c r="A408" i="3"/>
  <c r="A409" i="3"/>
  <c r="A410" i="3"/>
  <c r="A411" i="3"/>
  <c r="A412" i="3"/>
  <c r="A413" i="3"/>
  <c r="A414" i="3"/>
  <c r="A415" i="3"/>
  <c r="A416" i="3"/>
  <c r="A417" i="3"/>
  <c r="A418" i="3"/>
  <c r="A419" i="3"/>
  <c r="A420" i="3"/>
  <c r="A421" i="3"/>
  <c r="A422" i="3"/>
  <c r="A423" i="3"/>
  <c r="A424" i="3"/>
  <c r="A425" i="3"/>
  <c r="A426" i="3"/>
  <c r="A427" i="3"/>
  <c r="A428" i="3"/>
  <c r="A429" i="3"/>
  <c r="A430" i="3"/>
  <c r="A431" i="3"/>
  <c r="A432" i="3"/>
  <c r="A433" i="3"/>
  <c r="A434" i="3"/>
  <c r="A435" i="3"/>
  <c r="A436" i="3"/>
  <c r="A437" i="3"/>
  <c r="A438" i="3"/>
  <c r="A439" i="3"/>
  <c r="A440" i="3"/>
  <c r="A441" i="3"/>
  <c r="A442" i="3"/>
  <c r="A443" i="3"/>
  <c r="A444" i="3"/>
  <c r="A445" i="3"/>
  <c r="A446" i="3"/>
  <c r="A447" i="3"/>
  <c r="A448" i="3"/>
  <c r="A449" i="3"/>
  <c r="A450" i="3"/>
  <c r="A451" i="3"/>
  <c r="A452" i="3"/>
  <c r="A453" i="3"/>
  <c r="A454" i="3"/>
  <c r="A455" i="3"/>
  <c r="A456" i="3"/>
  <c r="A457" i="3"/>
  <c r="A458" i="3"/>
  <c r="A459" i="3"/>
  <c r="A460" i="3"/>
  <c r="A461" i="3"/>
  <c r="A462" i="3"/>
  <c r="A463" i="3"/>
  <c r="A464" i="3"/>
  <c r="A465" i="3"/>
  <c r="A466" i="3"/>
  <c r="A467" i="3"/>
  <c r="A468" i="3"/>
  <c r="A469" i="3"/>
  <c r="A470" i="3"/>
  <c r="A471" i="3"/>
  <c r="A472" i="3"/>
  <c r="A473" i="3"/>
  <c r="A474" i="3"/>
  <c r="A475" i="3"/>
  <c r="A476" i="3"/>
  <c r="A477" i="3"/>
  <c r="A478" i="3"/>
  <c r="A479" i="3"/>
  <c r="A480" i="3"/>
  <c r="A481" i="3"/>
  <c r="A482" i="3"/>
  <c r="A483" i="3"/>
  <c r="A484" i="3"/>
  <c r="A485" i="3"/>
  <c r="A486" i="3"/>
  <c r="A487" i="3"/>
  <c r="A488" i="3"/>
  <c r="A489" i="3"/>
  <c r="A490" i="3"/>
  <c r="A491" i="3"/>
  <c r="A492" i="3"/>
  <c r="A493" i="3"/>
  <c r="A494" i="3"/>
  <c r="A495" i="3"/>
  <c r="A496" i="3"/>
  <c r="A497" i="3"/>
  <c r="A498" i="3"/>
  <c r="A499" i="3"/>
  <c r="A500" i="3"/>
  <c r="A501" i="3"/>
  <c r="A502" i="3"/>
  <c r="A503" i="3"/>
  <c r="A504" i="3"/>
  <c r="A505" i="3"/>
  <c r="A506" i="3"/>
  <c r="A507" i="3"/>
  <c r="A508" i="3"/>
  <c r="A509" i="3"/>
</calcChain>
</file>

<file path=xl/sharedStrings.xml><?xml version="1.0" encoding="utf-8"?>
<sst xmlns="http://schemas.openxmlformats.org/spreadsheetml/2006/main" count="8725" uniqueCount="867">
  <si>
    <t>DATE</t>
  </si>
  <si>
    <t>TRANSACTION ID</t>
  </si>
  <si>
    <t>NAME</t>
  </si>
  <si>
    <t>EMAIL</t>
  </si>
  <si>
    <t>GENDER</t>
  </si>
  <si>
    <t>CUSTOMER ID</t>
  </si>
  <si>
    <t>CATEGORY</t>
  </si>
  <si>
    <t>AGE</t>
  </si>
  <si>
    <t>BANK</t>
  </si>
  <si>
    <t>PAYMENT METHOD</t>
  </si>
  <si>
    <t>DP3A344</t>
  </si>
  <si>
    <t>Ursula Maddox</t>
  </si>
  <si>
    <t>Umaddox@gmail.com</t>
  </si>
  <si>
    <t>Male</t>
  </si>
  <si>
    <t>PVC2023166</t>
  </si>
  <si>
    <t>Standard</t>
  </si>
  <si>
    <t>FIRST BANK</t>
  </si>
  <si>
    <t>Mobile Transfer</t>
  </si>
  <si>
    <t>DP3T417</t>
  </si>
  <si>
    <t>Rhona Mitchell</t>
  </si>
  <si>
    <t>Rmitchell@gmail.com</t>
  </si>
  <si>
    <t>Female</t>
  </si>
  <si>
    <t>PVC2023141</t>
  </si>
  <si>
    <t>Premium</t>
  </si>
  <si>
    <t>STANDARD CHARTERED</t>
  </si>
  <si>
    <t>Partner Agent</t>
  </si>
  <si>
    <t>DP2A236</t>
  </si>
  <si>
    <t>Oludoye Weber</t>
  </si>
  <si>
    <t>Oweber@ymail.com</t>
  </si>
  <si>
    <t>PVC2023196</t>
  </si>
  <si>
    <t>Gold</t>
  </si>
  <si>
    <t>ACCESS BANK</t>
  </si>
  <si>
    <t>Over The Counter</t>
  </si>
  <si>
    <t>DP2G296</t>
  </si>
  <si>
    <t>Bamidele Alexander</t>
  </si>
  <si>
    <t>Balexander@ymail.com</t>
  </si>
  <si>
    <t>PVC2023113</t>
  </si>
  <si>
    <t>FIDELITY BANK</t>
  </si>
  <si>
    <t>DP3T390</t>
  </si>
  <si>
    <t>Uriel Adams</t>
  </si>
  <si>
    <t>Uadams@gmail.com</t>
  </si>
  <si>
    <t>PVC2023169</t>
  </si>
  <si>
    <t>UNITED BANK FOR AFRICA</t>
  </si>
  <si>
    <t>DP3N384</t>
  </si>
  <si>
    <t>Olaogun Gilbert</t>
  </si>
  <si>
    <t>Ogilbert@gmail.com</t>
  </si>
  <si>
    <t>PVC2023179</t>
  </si>
  <si>
    <t>USSD</t>
  </si>
  <si>
    <t>DP2T147</t>
  </si>
  <si>
    <t>Fasinu Guzzo</t>
  </si>
  <si>
    <t>Fguzzo@ymail.com</t>
  </si>
  <si>
    <t>PVC2023153</t>
  </si>
  <si>
    <t>ZENITH BANK</t>
  </si>
  <si>
    <t>DP2P116</t>
  </si>
  <si>
    <t>Brittany Best</t>
  </si>
  <si>
    <t>Bbest@gmail.com</t>
  </si>
  <si>
    <t>PVC2023125</t>
  </si>
  <si>
    <t>WEMA BANK</t>
  </si>
  <si>
    <t>DP2M113</t>
  </si>
  <si>
    <t>Odumosu Duke</t>
  </si>
  <si>
    <t>PVC2023108</t>
  </si>
  <si>
    <t>Online Banking</t>
  </si>
  <si>
    <t>DP2E267</t>
  </si>
  <si>
    <t>Odumosu Mcclure</t>
  </si>
  <si>
    <t>Omcclure@gmail.com</t>
  </si>
  <si>
    <t>PVC2023154</t>
  </si>
  <si>
    <t>UNION BANK</t>
  </si>
  <si>
    <t>DP3U310</t>
  </si>
  <si>
    <t>Bell Juarez</t>
  </si>
  <si>
    <t>PVC2023173</t>
  </si>
  <si>
    <t>DP3K408</t>
  </si>
  <si>
    <t>Ivory Selhorst</t>
  </si>
  <si>
    <t>PVC2023144</t>
  </si>
  <si>
    <t>DP2Z235</t>
  </si>
  <si>
    <t>DP3E537</t>
  </si>
  <si>
    <t>Emerson Panovsky</t>
  </si>
  <si>
    <t>Epanovsky@gmail.com</t>
  </si>
  <si>
    <t>PVC2023198</t>
  </si>
  <si>
    <t>DP3L490</t>
  </si>
  <si>
    <t>Temilade Knapp</t>
  </si>
  <si>
    <t>Tknapp@ymail.com</t>
  </si>
  <si>
    <t>PVC2023187</t>
  </si>
  <si>
    <t>DP2W231</t>
  </si>
  <si>
    <t>Deacon Cobb</t>
  </si>
  <si>
    <t>PVC2023102</t>
  </si>
  <si>
    <t>DP3W339</t>
  </si>
  <si>
    <t>DP3K570</t>
  </si>
  <si>
    <t>Benedict Miller</t>
  </si>
  <si>
    <t>Bmiller@gmail.com</t>
  </si>
  <si>
    <t>PVC2023118</t>
  </si>
  <si>
    <t>DP3V392</t>
  </si>
  <si>
    <t>DP3H567</t>
  </si>
  <si>
    <t>Lani Key</t>
  </si>
  <si>
    <t>PVC2023130</t>
  </si>
  <si>
    <t>DP3X584</t>
  </si>
  <si>
    <t>DP3F511</t>
  </si>
  <si>
    <t>DP2N114</t>
  </si>
  <si>
    <t>Akanteyon Williams</t>
  </si>
  <si>
    <t>PVC2023163</t>
  </si>
  <si>
    <t>DP2G107</t>
  </si>
  <si>
    <t>Hiroko Panovsky</t>
  </si>
  <si>
    <t>Hpanovsky@ymail.com</t>
  </si>
  <si>
    <t>PVC2023182</t>
  </si>
  <si>
    <t>DP2A101</t>
  </si>
  <si>
    <t>Brynne Nankam</t>
  </si>
  <si>
    <t>PVC2023143</t>
  </si>
  <si>
    <t>DP3X314</t>
  </si>
  <si>
    <t>Taoheed Perkins</t>
  </si>
  <si>
    <t>PVC2023176</t>
  </si>
  <si>
    <t>DP2D131</t>
  </si>
  <si>
    <t>DP3T309</t>
  </si>
  <si>
    <t>Agemo Barnes</t>
  </si>
  <si>
    <t>Abarnes@gmail.com</t>
  </si>
  <si>
    <t>PVC2023136</t>
  </si>
  <si>
    <t>DP2W123</t>
  </si>
  <si>
    <t>Taoheed Abbott</t>
  </si>
  <si>
    <t>PVC2023116</t>
  </si>
  <si>
    <t>DP3T579</t>
  </si>
  <si>
    <t>Bakare Andrea</t>
  </si>
  <si>
    <t>PVC2023117</t>
  </si>
  <si>
    <t>DP3M383</t>
  </si>
  <si>
    <t>Adeleke Fitzpatrick</t>
  </si>
  <si>
    <t>Afitzpatrick@gmail.com</t>
  </si>
  <si>
    <t>PVC2023148</t>
  </si>
  <si>
    <t>DP3C535</t>
  </si>
  <si>
    <t>Adeniyi Chang</t>
  </si>
  <si>
    <t>Achang@gmail.com</t>
  </si>
  <si>
    <t>PVC2023110</t>
  </si>
  <si>
    <t>DP3I352</t>
  </si>
  <si>
    <t>Celeste Miller</t>
  </si>
  <si>
    <t>Cmiller@gmail.com</t>
  </si>
  <si>
    <t>PVC2023138</t>
  </si>
  <si>
    <t>DP2I271</t>
  </si>
  <si>
    <t>Olaogun Kidd</t>
  </si>
  <si>
    <t>Okidd@gmail.com</t>
  </si>
  <si>
    <t>PVC2023134</t>
  </si>
  <si>
    <t>DP3Q441</t>
  </si>
  <si>
    <t>Adebola Ezichi</t>
  </si>
  <si>
    <t>Aezichi@gmail.com</t>
  </si>
  <si>
    <t>PVC2023194</t>
  </si>
  <si>
    <t>DP3J569</t>
  </si>
  <si>
    <t>Peter Dixon</t>
  </si>
  <si>
    <t>Pdixon@gmail.com</t>
  </si>
  <si>
    <t>PVC2023152</t>
  </si>
  <si>
    <t>DP3J380</t>
  </si>
  <si>
    <t>Latifah Ogbonna</t>
  </si>
  <si>
    <t>Logbonna@ymail.com</t>
  </si>
  <si>
    <t>PVC2023111</t>
  </si>
  <si>
    <t>DP3V554</t>
  </si>
  <si>
    <t>Femi Jordan</t>
  </si>
  <si>
    <t>PVC2023132</t>
  </si>
  <si>
    <t>STANBIC IBTC BANK</t>
  </si>
  <si>
    <t>DP2Z259</t>
  </si>
  <si>
    <t>DP3Z451</t>
  </si>
  <si>
    <t>Mercedes Selhorst</t>
  </si>
  <si>
    <t>Mselhorst@gmail.com</t>
  </si>
  <si>
    <t>PVC2023115</t>
  </si>
  <si>
    <t>DP2S254</t>
  </si>
  <si>
    <t>Joy Garza</t>
  </si>
  <si>
    <t>Jgarza@ymail.com</t>
  </si>
  <si>
    <t>PVC2023147</t>
  </si>
  <si>
    <t>DP3F322</t>
  </si>
  <si>
    <t>Peter Adams</t>
  </si>
  <si>
    <t>PVC2023126</t>
  </si>
  <si>
    <t>DP3U526</t>
  </si>
  <si>
    <t>Maite Cortez</t>
  </si>
  <si>
    <t>PVC2023121</t>
  </si>
  <si>
    <t>GTBANK PLC</t>
  </si>
  <si>
    <t>DP3W474</t>
  </si>
  <si>
    <t>Athena Macdonald</t>
  </si>
  <si>
    <t>Amacdonald@gmail.com</t>
  </si>
  <si>
    <t>PVC2023150</t>
  </si>
  <si>
    <t>DP3L544</t>
  </si>
  <si>
    <t>Omolara Selhorst</t>
  </si>
  <si>
    <t>Oselhorst@gmail.com</t>
  </si>
  <si>
    <t>PVC2023178</t>
  </si>
  <si>
    <t>DP3O358</t>
  </si>
  <si>
    <t>DP2V122</t>
  </si>
  <si>
    <t>Adeniyi Tillman</t>
  </si>
  <si>
    <t>Atillman@ymail.com</t>
  </si>
  <si>
    <t>PVC2023119</t>
  </si>
  <si>
    <t>DP2Z208</t>
  </si>
  <si>
    <t>DP3Y558</t>
  </si>
  <si>
    <t>Omolara Ferris</t>
  </si>
  <si>
    <t>Oferris@gmail.com</t>
  </si>
  <si>
    <t>PVC2023185</t>
  </si>
  <si>
    <t>DP3M599</t>
  </si>
  <si>
    <t>DP2C211</t>
  </si>
  <si>
    <t>Olayinka Humphrey</t>
  </si>
  <si>
    <t>Ohumphrey@ymail.com</t>
  </si>
  <si>
    <t>PVC2023170</t>
  </si>
  <si>
    <t>DP2C184</t>
  </si>
  <si>
    <t>Leonard Gilbert</t>
  </si>
  <si>
    <t>PVC2023186</t>
  </si>
  <si>
    <t>DP2F241</t>
  </si>
  <si>
    <t>DP3Z421</t>
  </si>
  <si>
    <t>Adeniyi Weaver</t>
  </si>
  <si>
    <t>Aweaver@ymail.com</t>
  </si>
  <si>
    <t>PVC2023105</t>
  </si>
  <si>
    <t>DP3I514</t>
  </si>
  <si>
    <t>Paul Ferris</t>
  </si>
  <si>
    <t>Pferris@gmail.com</t>
  </si>
  <si>
    <t>PVC2023181</t>
  </si>
  <si>
    <t>DP2J272</t>
  </si>
  <si>
    <t>DP2U202</t>
  </si>
  <si>
    <t>Liberty Barnett</t>
  </si>
  <si>
    <t>Lbarnett@gmail.com</t>
  </si>
  <si>
    <t>PVC2023103</t>
  </si>
  <si>
    <t>DP3F592</t>
  </si>
  <si>
    <t>George Clubbs</t>
  </si>
  <si>
    <t>PVC2023109</t>
  </si>
  <si>
    <t>DP3V500</t>
  </si>
  <si>
    <t>DP2Q171</t>
  </si>
  <si>
    <t>DP3S605</t>
  </si>
  <si>
    <t>Nell Yancer</t>
  </si>
  <si>
    <t>Nyancer@gmail.com</t>
  </si>
  <si>
    <t>PVC2023129</t>
  </si>
  <si>
    <t>DP2Z151</t>
  </si>
  <si>
    <t>Toyin Micheal</t>
  </si>
  <si>
    <t>PVC2023188</t>
  </si>
  <si>
    <t>DP2I190</t>
  </si>
  <si>
    <t>DP2Z205</t>
  </si>
  <si>
    <t>DP3D455</t>
  </si>
  <si>
    <t>Lesly Porter</t>
  </si>
  <si>
    <t>Lporter@gmail.com</t>
  </si>
  <si>
    <t>PVC2023137</t>
  </si>
  <si>
    <t>DP2M194</t>
  </si>
  <si>
    <t>DP2H270</t>
  </si>
  <si>
    <t>DP3P440</t>
  </si>
  <si>
    <t>DP3Y504</t>
  </si>
  <si>
    <t>DP2S200</t>
  </si>
  <si>
    <t>DP3S362</t>
  </si>
  <si>
    <t>Aretha Perkins</t>
  </si>
  <si>
    <t>PVC2023135</t>
  </si>
  <si>
    <t>DP2E186</t>
  </si>
  <si>
    <t>DP3Z313</t>
  </si>
  <si>
    <t>DP3V527</t>
  </si>
  <si>
    <t>DP3X476</t>
  </si>
  <si>
    <t>DP3X341</t>
  </si>
  <si>
    <t>DP3M329</t>
  </si>
  <si>
    <t>DP2Z127</t>
  </si>
  <si>
    <t>Jelani Mckinney</t>
  </si>
  <si>
    <t>PVC2023107</t>
  </si>
  <si>
    <t>DP2S173</t>
  </si>
  <si>
    <t>Adebola Solis</t>
  </si>
  <si>
    <t>Asolis@ymail.com</t>
  </si>
  <si>
    <t>PVC2023124</t>
  </si>
  <si>
    <t>DP3Z448</t>
  </si>
  <si>
    <t>DP3E456</t>
  </si>
  <si>
    <t>DP2K273</t>
  </si>
  <si>
    <t>Keaton Jimenez</t>
  </si>
  <si>
    <t>Kjimenez@ymail.com</t>
  </si>
  <si>
    <t>PVC2023165</t>
  </si>
  <si>
    <t>DP3A533</t>
  </si>
  <si>
    <t>DP2T201</t>
  </si>
  <si>
    <t>Ehindero Matt</t>
  </si>
  <si>
    <t>Ematt@gmail.com</t>
  </si>
  <si>
    <t>PVC2023104</t>
  </si>
  <si>
    <t>DP2K111</t>
  </si>
  <si>
    <t>Oludaisi Johnson</t>
  </si>
  <si>
    <t>PVC2023122</t>
  </si>
  <si>
    <t>DP3V608</t>
  </si>
  <si>
    <t>DP2A155</t>
  </si>
  <si>
    <t>DP2F214</t>
  </si>
  <si>
    <t>DP3Z424</t>
  </si>
  <si>
    <t>Cyrus Smith</t>
  </si>
  <si>
    <t>Csmith@ymail.com</t>
  </si>
  <si>
    <t>PVC2023183</t>
  </si>
  <si>
    <t>DP3A371</t>
  </si>
  <si>
    <t>Ayo Ezichi</t>
  </si>
  <si>
    <t>PVC2023131</t>
  </si>
  <si>
    <t>DP2A209</t>
  </si>
  <si>
    <t>Ayo Vang</t>
  </si>
  <si>
    <t>PVC2023199</t>
  </si>
  <si>
    <t>DP2L247</t>
  </si>
  <si>
    <t>Noel Mack</t>
  </si>
  <si>
    <t>Nmack@gmail.com</t>
  </si>
  <si>
    <t>PVC2023139</t>
  </si>
  <si>
    <t>DP3T363</t>
  </si>
  <si>
    <t>DP3N465</t>
  </si>
  <si>
    <t>DP2O250</t>
  </si>
  <si>
    <t>Small Orr</t>
  </si>
  <si>
    <t>Sorr@gmail.com</t>
  </si>
  <si>
    <t>PVC2023164</t>
  </si>
  <si>
    <t>DP2O196</t>
  </si>
  <si>
    <t>DP2F106</t>
  </si>
  <si>
    <t>DP3Y396</t>
  </si>
  <si>
    <t>DP3O547</t>
  </si>
  <si>
    <t>DP3D347</t>
  </si>
  <si>
    <t>Forrest Felix</t>
  </si>
  <si>
    <t>PVC2023145</t>
  </si>
  <si>
    <t>DP2N195</t>
  </si>
  <si>
    <t>Morgan Herriot</t>
  </si>
  <si>
    <t>PVC2023127</t>
  </si>
  <si>
    <t>DP3F457</t>
  </si>
  <si>
    <t>Brett Fernandez</t>
  </si>
  <si>
    <t>Bfernandez@gmail.com</t>
  </si>
  <si>
    <t>PVC2023191</t>
  </si>
  <si>
    <t>DP2B156</t>
  </si>
  <si>
    <t>Noble Hicks</t>
  </si>
  <si>
    <t>Nhicks@gmail.com</t>
  </si>
  <si>
    <t>PVC2023112</t>
  </si>
  <si>
    <t>DP2R226</t>
  </si>
  <si>
    <t>DP3W312</t>
  </si>
  <si>
    <t>DP2D266</t>
  </si>
  <si>
    <t>DP3H405</t>
  </si>
  <si>
    <t>Amery Jacob</t>
  </si>
  <si>
    <t>Ajacob@ymail.com</t>
  </si>
  <si>
    <t>PVC2023142</t>
  </si>
  <si>
    <t>DP3Y423</t>
  </si>
  <si>
    <t>DP3L382</t>
  </si>
  <si>
    <t>DP3S443</t>
  </si>
  <si>
    <t>DP3T471</t>
  </si>
  <si>
    <t>DP3I541</t>
  </si>
  <si>
    <t>Okediran Mitchell</t>
  </si>
  <si>
    <t>Omitchell@ymail.com</t>
  </si>
  <si>
    <t>PVC2023190</t>
  </si>
  <si>
    <t>DP3Q387</t>
  </si>
  <si>
    <t>DP3R550</t>
  </si>
  <si>
    <t>Olayinka Canini</t>
  </si>
  <si>
    <t>PVC2023106</t>
  </si>
  <si>
    <t>DP2P305</t>
  </si>
  <si>
    <t>DP3Z367</t>
  </si>
  <si>
    <t>DP3H351</t>
  </si>
  <si>
    <t>Ingrid Burris</t>
  </si>
  <si>
    <t>PVC2023128</t>
  </si>
  <si>
    <t>DP3R604</t>
  </si>
  <si>
    <t>Taibat Dennis</t>
  </si>
  <si>
    <t>Tdennis@gmail.com</t>
  </si>
  <si>
    <t>PVC2023133</t>
  </si>
  <si>
    <t>DP3R361</t>
  </si>
  <si>
    <t>DP3A317</t>
  </si>
  <si>
    <t>DP2M248</t>
  </si>
  <si>
    <t>DP2U256</t>
  </si>
  <si>
    <t>DP3D428</t>
  </si>
  <si>
    <t>Akanteyon Knowles</t>
  </si>
  <si>
    <t>Aknowles@gmail.com</t>
  </si>
  <si>
    <t>PVC2023184</t>
  </si>
  <si>
    <t>DP3X422</t>
  </si>
  <si>
    <t>Jerry Ellis</t>
  </si>
  <si>
    <t>Jellis@gmail.com</t>
  </si>
  <si>
    <t>PVC2023197</t>
  </si>
  <si>
    <t>DP3D482</t>
  </si>
  <si>
    <t>Petra Panovsky</t>
  </si>
  <si>
    <t>PVC2023146</t>
  </si>
  <si>
    <t>DP3Z559</t>
  </si>
  <si>
    <t>DP2Y261</t>
  </si>
  <si>
    <t>DP2E213</t>
  </si>
  <si>
    <t>DP2T255</t>
  </si>
  <si>
    <t>Fasinu Adams</t>
  </si>
  <si>
    <t>Fadams@ymail.com</t>
  </si>
  <si>
    <t>PVC2023172</t>
  </si>
  <si>
    <t>DP2M302</t>
  </si>
  <si>
    <t>DP3R577</t>
  </si>
  <si>
    <t>DP2I217</t>
  </si>
  <si>
    <t>DP2E159</t>
  </si>
  <si>
    <t>DP2Z178</t>
  </si>
  <si>
    <t>DP3G350</t>
  </si>
  <si>
    <t>DP3V419</t>
  </si>
  <si>
    <t>DP2Y180</t>
  </si>
  <si>
    <t>DP2J218</t>
  </si>
  <si>
    <t>Fletcher Merritt</t>
  </si>
  <si>
    <t>Fmerritt@gmail.com</t>
  </si>
  <si>
    <t>PVC2023193</t>
  </si>
  <si>
    <t>DP3L409</t>
  </si>
  <si>
    <t>DP3Y531</t>
  </si>
  <si>
    <t>DP2G269</t>
  </si>
  <si>
    <t>DP3U391</t>
  </si>
  <si>
    <t>DP2C265</t>
  </si>
  <si>
    <t>Thomas Byrd</t>
  </si>
  <si>
    <t>PVC2023157</t>
  </si>
  <si>
    <t>DP2B237</t>
  </si>
  <si>
    <t>DP2B102</t>
  </si>
  <si>
    <t>DP3C589</t>
  </si>
  <si>
    <t>DP2Q306</t>
  </si>
  <si>
    <t>Eleanor Duane</t>
  </si>
  <si>
    <t>Eduane@gmail.com</t>
  </si>
  <si>
    <t>PVC2023195</t>
  </si>
  <si>
    <t>DP3Q576</t>
  </si>
  <si>
    <t>DP3O601</t>
  </si>
  <si>
    <t>DP3O493</t>
  </si>
  <si>
    <t>DP2R145</t>
  </si>
  <si>
    <t>Saheed Warner</t>
  </si>
  <si>
    <t>Swarner@gmail.com</t>
  </si>
  <si>
    <t>PVC2023151</t>
  </si>
  <si>
    <t>DP2Z232</t>
  </si>
  <si>
    <t>DP3Z532</t>
  </si>
  <si>
    <t>DP3S578</t>
  </si>
  <si>
    <t>Jared Dennis</t>
  </si>
  <si>
    <t>Jdennis@ymail.com</t>
  </si>
  <si>
    <t>PVC2023162</t>
  </si>
  <si>
    <t>DP3N546</t>
  </si>
  <si>
    <t>DP3E483</t>
  </si>
  <si>
    <t>DP2N168</t>
  </si>
  <si>
    <t>Isadora Jones</t>
  </si>
  <si>
    <t>Ijones@ymail.com</t>
  </si>
  <si>
    <t>PVC2023171</t>
  </si>
  <si>
    <t>DP3T444</t>
  </si>
  <si>
    <t>Adeniyi Mcconnell</t>
  </si>
  <si>
    <t>PVC2023168</t>
  </si>
  <si>
    <t>DP3I595</t>
  </si>
  <si>
    <t>DP3N438</t>
  </si>
  <si>
    <t>DP2J245</t>
  </si>
  <si>
    <t>DP2H216</t>
  </si>
  <si>
    <t>DP2L274</t>
  </si>
  <si>
    <t>DP3W393</t>
  </si>
  <si>
    <t>DP3U553</t>
  </si>
  <si>
    <t>DP2B210</t>
  </si>
  <si>
    <t>DP2O169</t>
  </si>
  <si>
    <t>DP2W177</t>
  </si>
  <si>
    <t>DP2E240</t>
  </si>
  <si>
    <t>DP2R199</t>
  </si>
  <si>
    <t>DP3B507</t>
  </si>
  <si>
    <t>DP3L436</t>
  </si>
  <si>
    <t>DP3O466</t>
  </si>
  <si>
    <t>DP3Q333</t>
  </si>
  <si>
    <t>DP2U148</t>
  </si>
  <si>
    <t>DP2M167</t>
  </si>
  <si>
    <t>DP3L598</t>
  </si>
  <si>
    <t>DP2Z289</t>
  </si>
  <si>
    <t>DP3Q414</t>
  </si>
  <si>
    <t>DP2T120</t>
  </si>
  <si>
    <t>DP2S227</t>
  </si>
  <si>
    <t>DP3F565</t>
  </si>
  <si>
    <t>DP3G323</t>
  </si>
  <si>
    <t>DP2M140</t>
  </si>
  <si>
    <t>DP2F133</t>
  </si>
  <si>
    <t>Kehinde Bush</t>
  </si>
  <si>
    <t>PVC2023180</t>
  </si>
  <si>
    <t>DP3C508</t>
  </si>
  <si>
    <t>Lael Carter</t>
  </si>
  <si>
    <t>PVC2023101</t>
  </si>
  <si>
    <t>DP2L301</t>
  </si>
  <si>
    <t>DP3H459</t>
  </si>
  <si>
    <t>DP3R442</t>
  </si>
  <si>
    <t>DP2C292</t>
  </si>
  <si>
    <t>DP3Q468</t>
  </si>
  <si>
    <t>DP3L463</t>
  </si>
  <si>
    <t>DP3Z343</t>
  </si>
  <si>
    <t>DP2U283</t>
  </si>
  <si>
    <t>DP3D509</t>
  </si>
  <si>
    <t>DP3G566</t>
  </si>
  <si>
    <t>DP2G134</t>
  </si>
  <si>
    <t>Saheed Thomas</t>
  </si>
  <si>
    <t>PVC2023177</t>
  </si>
  <si>
    <t>DP3F430</t>
  </si>
  <si>
    <t>Ehindero Adams</t>
  </si>
  <si>
    <t>Eadams@gmail.com</t>
  </si>
  <si>
    <t>PVC2023161</t>
  </si>
  <si>
    <t>DP2W258</t>
  </si>
  <si>
    <t>DP2O277</t>
  </si>
  <si>
    <t>DP3A506</t>
  </si>
  <si>
    <t>DP3X557</t>
  </si>
  <si>
    <t>DP3X395</t>
  </si>
  <si>
    <t>DP2I136</t>
  </si>
  <si>
    <t>DP3P332</t>
  </si>
  <si>
    <t>DP2L166</t>
  </si>
  <si>
    <t>DP3G458</t>
  </si>
  <si>
    <t>DP3F376</t>
  </si>
  <si>
    <t>DP2X233</t>
  </si>
  <si>
    <t>DP3J326</t>
  </si>
  <si>
    <t>DP2Q198</t>
  </si>
  <si>
    <t>Oluwafunmi James</t>
  </si>
  <si>
    <t>PVC2023189</t>
  </si>
  <si>
    <t>DP3J407</t>
  </si>
  <si>
    <t>DP3X503</t>
  </si>
  <si>
    <t>DP2P143</t>
  </si>
  <si>
    <t>DP2U229</t>
  </si>
  <si>
    <t>DP3G431</t>
  </si>
  <si>
    <t>DP3I460</t>
  </si>
  <si>
    <t>DP3W366</t>
  </si>
  <si>
    <t>DP3O520</t>
  </si>
  <si>
    <t>Robert Jones</t>
  </si>
  <si>
    <t>Rjones@gmail.com</t>
  </si>
  <si>
    <t>PVC2023140</t>
  </si>
  <si>
    <t>DP3J515</t>
  </si>
  <si>
    <t>Ayo Wise</t>
  </si>
  <si>
    <t>PVC2023174</t>
  </si>
  <si>
    <t>DP3I568</t>
  </si>
  <si>
    <t>DP3F403</t>
  </si>
  <si>
    <t>DP3J434</t>
  </si>
  <si>
    <t>DP3B480</t>
  </si>
  <si>
    <t>Ebuka Mercer</t>
  </si>
  <si>
    <t>Emercer@ymail.com</t>
  </si>
  <si>
    <t>PVC2023159</t>
  </si>
  <si>
    <t>DP3S335</t>
  </si>
  <si>
    <t>DP3E375</t>
  </si>
  <si>
    <t>DP2N303</t>
  </si>
  <si>
    <t>Desirae Spencer</t>
  </si>
  <si>
    <t>PVC2023123</t>
  </si>
  <si>
    <t>DP3K489</t>
  </si>
  <si>
    <t>DP2S281</t>
  </si>
  <si>
    <t>DP2W285</t>
  </si>
  <si>
    <t>DP3D536</t>
  </si>
  <si>
    <t>DP2K165</t>
  </si>
  <si>
    <t>DP3Z340</t>
  </si>
  <si>
    <t>DP3L517</t>
  </si>
  <si>
    <t>DP2C157</t>
  </si>
  <si>
    <t>DP3W447</t>
  </si>
  <si>
    <t>DP3A398</t>
  </si>
  <si>
    <t>DP2N249</t>
  </si>
  <si>
    <t>Oprah Rod</t>
  </si>
  <si>
    <t>PVC2023192</t>
  </si>
  <si>
    <t>DP3T606</t>
  </si>
  <si>
    <t>DP2D212</t>
  </si>
  <si>
    <t>DP3X530</t>
  </si>
  <si>
    <t>DP3W420</t>
  </si>
  <si>
    <t>DP3F484</t>
  </si>
  <si>
    <t>DP2M275</t>
  </si>
  <si>
    <t>DP3E510</t>
  </si>
  <si>
    <t>DP2Q144</t>
  </si>
  <si>
    <t>DP3G512</t>
  </si>
  <si>
    <t>DP2K138</t>
  </si>
  <si>
    <t>DP3U472</t>
  </si>
  <si>
    <t>DP3H486</t>
  </si>
  <si>
    <t>DP2N141</t>
  </si>
  <si>
    <t>DP2X152</t>
  </si>
  <si>
    <t>DP3Z529</t>
  </si>
  <si>
    <t>Isaac Matt</t>
  </si>
  <si>
    <t>Imatt@gmail.com</t>
  </si>
  <si>
    <t>PVC2023158</t>
  </si>
  <si>
    <t>DP3B561</t>
  </si>
  <si>
    <t>DP3G485</t>
  </si>
  <si>
    <t>DP2W204</t>
  </si>
  <si>
    <t>DP2F268</t>
  </si>
  <si>
    <t>DP2G188</t>
  </si>
  <si>
    <t>DP3I406</t>
  </si>
  <si>
    <t>DP3E402</t>
  </si>
  <si>
    <t>Toyin Douglas</t>
  </si>
  <si>
    <t>Tdouglas@gmail.com</t>
  </si>
  <si>
    <t>PVC2023160</t>
  </si>
  <si>
    <t>DP2Z124</t>
  </si>
  <si>
    <t>DP3O439</t>
  </si>
  <si>
    <t>DP3Q549</t>
  </si>
  <si>
    <t>DP2L220</t>
  </si>
  <si>
    <t>DP3U418</t>
  </si>
  <si>
    <t>DP3W555</t>
  </si>
  <si>
    <t>DP2H297</t>
  </si>
  <si>
    <t>DP3V473</t>
  </si>
  <si>
    <t>DP3G539</t>
  </si>
  <si>
    <t>DP2Y153</t>
  </si>
  <si>
    <t>DP3P413</t>
  </si>
  <si>
    <t>Amber Yancer</t>
  </si>
  <si>
    <t>PVC2023175</t>
  </si>
  <si>
    <t>DP3W582</t>
  </si>
  <si>
    <t>DP3C427</t>
  </si>
  <si>
    <t>Joy Callistus</t>
  </si>
  <si>
    <t>Jcallistus@gmail.com</t>
  </si>
  <si>
    <t>PVC2023156</t>
  </si>
  <si>
    <t>DP3M572</t>
  </si>
  <si>
    <t>DP2V203</t>
  </si>
  <si>
    <t>DP2L193</t>
  </si>
  <si>
    <t>DP3X449</t>
  </si>
  <si>
    <t>DP2B183</t>
  </si>
  <si>
    <t>DP2H162</t>
  </si>
  <si>
    <t>DP3G404</t>
  </si>
  <si>
    <t>DP3C346</t>
  </si>
  <si>
    <t>DP3H594</t>
  </si>
  <si>
    <t>James Mccarty</t>
  </si>
  <si>
    <t>Jmccarty@gmail.com</t>
  </si>
  <si>
    <t>PVC2023120</t>
  </si>
  <si>
    <t>DP3C373</t>
  </si>
  <si>
    <t>DP3H324</t>
  </si>
  <si>
    <t>DP3K354</t>
  </si>
  <si>
    <t>DP3S416</t>
  </si>
  <si>
    <t>DP3U580</t>
  </si>
  <si>
    <t>DP3J596</t>
  </si>
  <si>
    <t>Sawyer Herriot</t>
  </si>
  <si>
    <t>Sherriot@gmail.com</t>
  </si>
  <si>
    <t>PVC2023155</t>
  </si>
  <si>
    <t>DP3K516</t>
  </si>
  <si>
    <t>DP2A128</t>
  </si>
  <si>
    <t>DP3A452</t>
  </si>
  <si>
    <t>DP2K219</t>
  </si>
  <si>
    <t>DP3J353</t>
  </si>
  <si>
    <t>DP3B372</t>
  </si>
  <si>
    <t>DP3I379</t>
  </si>
  <si>
    <t>DP2S146</t>
  </si>
  <si>
    <t>DP3B345</t>
  </si>
  <si>
    <t>DP2S119</t>
  </si>
  <si>
    <t>DP2F295</t>
  </si>
  <si>
    <t>DP2X179</t>
  </si>
  <si>
    <t>DP3A479</t>
  </si>
  <si>
    <t>DP3N411</t>
  </si>
  <si>
    <t>DP3Y315</t>
  </si>
  <si>
    <t>DP3C562</t>
  </si>
  <si>
    <t>DP2M221</t>
  </si>
  <si>
    <t>DP2G161</t>
  </si>
  <si>
    <t>DP3K435</t>
  </si>
  <si>
    <t>DP3Z316</t>
  </si>
  <si>
    <t>Nyssa Walton</t>
  </si>
  <si>
    <t>Nwalton@gmail.com</t>
  </si>
  <si>
    <t>PVC2023114</t>
  </si>
  <si>
    <t>DP2B291</t>
  </si>
  <si>
    <t>DP3X368</t>
  </si>
  <si>
    <t>DP3Z586</t>
  </si>
  <si>
    <t>DP3P575</t>
  </si>
  <si>
    <t>DP3I325</t>
  </si>
  <si>
    <t>DP3Q360</t>
  </si>
  <si>
    <t>DP2P251</t>
  </si>
  <si>
    <t>DP3Z505</t>
  </si>
  <si>
    <t>DP3J542</t>
  </si>
  <si>
    <t>DP3V446</t>
  </si>
  <si>
    <t>DP3M545</t>
  </si>
  <si>
    <t>DP3D320</t>
  </si>
  <si>
    <t>DP3R415</t>
  </si>
  <si>
    <t>DP3T498</t>
  </si>
  <si>
    <t>DP3E348</t>
  </si>
  <si>
    <t>DP3E321</t>
  </si>
  <si>
    <t>DP2I163</t>
  </si>
  <si>
    <t>DP2Q117</t>
  </si>
  <si>
    <t>DP3R334</t>
  </si>
  <si>
    <t>DP3D374</t>
  </si>
  <si>
    <t>DP3V365</t>
  </si>
  <si>
    <t>DP2R118</t>
  </si>
  <si>
    <t>DP3T525</t>
  </si>
  <si>
    <t>DP3W528</t>
  </si>
  <si>
    <t>DP3K381</t>
  </si>
  <si>
    <t>DP3B399</t>
  </si>
  <si>
    <t>DP2C238</t>
  </si>
  <si>
    <t>DP2R280</t>
  </si>
  <si>
    <t>DP3F538</t>
  </si>
  <si>
    <t>DP2Y207</t>
  </si>
  <si>
    <t>DP3S551</t>
  </si>
  <si>
    <t>DP3D401</t>
  </si>
  <si>
    <t>DP2F187</t>
  </si>
  <si>
    <t>DP3A560</t>
  </si>
  <si>
    <t>DP3O331</t>
  </si>
  <si>
    <t>Gwendolyn Apple</t>
  </si>
  <si>
    <t>Gapple@ymail.com</t>
  </si>
  <si>
    <t>PVC2023167</t>
  </si>
  <si>
    <t>DP3Z397</t>
  </si>
  <si>
    <t>DP2V176</t>
  </si>
  <si>
    <t>DP3C319</t>
  </si>
  <si>
    <t>DP3P521</t>
  </si>
  <si>
    <t>DP3E429</t>
  </si>
  <si>
    <t>DP3U337</t>
  </si>
  <si>
    <t>DP3Q522</t>
  </si>
  <si>
    <t>DP3K597</t>
  </si>
  <si>
    <t>DP2J137</t>
  </si>
  <si>
    <t>DP3N357</t>
  </si>
  <si>
    <t>DP2I298</t>
  </si>
  <si>
    <t>DP3M356</t>
  </si>
  <si>
    <t>DP3Z370</t>
  </si>
  <si>
    <t>DP3Z478</t>
  </si>
  <si>
    <t>DP2I244</t>
  </si>
  <si>
    <t>DP3R469</t>
  </si>
  <si>
    <t>Winifred Ogbonna</t>
  </si>
  <si>
    <t>Wogbonna@ymail.com</t>
  </si>
  <si>
    <t>PVC2023149</t>
  </si>
  <si>
    <t>DP3M464</t>
  </si>
  <si>
    <t>DP3H540</t>
  </si>
  <si>
    <t>DP3B534</t>
  </si>
  <si>
    <t>DP2P197</t>
  </si>
  <si>
    <t>DP2J164</t>
  </si>
  <si>
    <t>DP3S470</t>
  </si>
  <si>
    <t>DP3Z475</t>
  </si>
  <si>
    <t>DP2O304</t>
  </si>
  <si>
    <t>DP2H243</t>
  </si>
  <si>
    <t>DP2O142</t>
  </si>
  <si>
    <t>DP2D293</t>
  </si>
  <si>
    <t>DP2B264</t>
  </si>
  <si>
    <t>DP2H189</t>
  </si>
  <si>
    <t>DP3O385</t>
  </si>
  <si>
    <t>DP3U607</t>
  </si>
  <si>
    <t>DP2T174</t>
  </si>
  <si>
    <t>DP3Z556</t>
  </si>
  <si>
    <t>DP3K462</t>
  </si>
  <si>
    <t>DP3S308</t>
  </si>
  <si>
    <t>DP3E564</t>
  </si>
  <si>
    <t>DP3P359</t>
  </si>
  <si>
    <t>DP3Y450</t>
  </si>
  <si>
    <t>DP3H432</t>
  </si>
  <si>
    <t>DP2N222</t>
  </si>
  <si>
    <t>DP2W150</t>
  </si>
  <si>
    <t>DP2J299</t>
  </si>
  <si>
    <t>DP2T282</t>
  </si>
  <si>
    <t>DP2X125</t>
  </si>
  <si>
    <t>DP2A182</t>
  </si>
  <si>
    <t>DP3U364</t>
  </si>
  <si>
    <t>DP2J191</t>
  </si>
  <si>
    <t>DP2V149</t>
  </si>
  <si>
    <t>DP3S497</t>
  </si>
  <si>
    <t>DP2D158</t>
  </si>
  <si>
    <t>DP3R523</t>
  </si>
  <si>
    <t>DP2K192</t>
  </si>
  <si>
    <t>DP2E105</t>
  </si>
  <si>
    <t>DP2Y288</t>
  </si>
  <si>
    <t>DP3Q495</t>
  </si>
  <si>
    <t>DP3J461</t>
  </si>
  <si>
    <t>DP3Q603</t>
  </si>
  <si>
    <t>DP2U121</t>
  </si>
  <si>
    <t>DP2N276</t>
  </si>
  <si>
    <t>DP3N573</t>
  </si>
  <si>
    <t>DP3T552</t>
  </si>
  <si>
    <t>DP3P602</t>
  </si>
  <si>
    <t>DP3C481</t>
  </si>
  <si>
    <t>DP3P548</t>
  </si>
  <si>
    <t>DP3B588</t>
  </si>
  <si>
    <t>DP2E294</t>
  </si>
  <si>
    <t>DP3B453</t>
  </si>
  <si>
    <t>DP2D104</t>
  </si>
  <si>
    <t>DP2P224</t>
  </si>
  <si>
    <t>DP2V230</t>
  </si>
  <si>
    <t>DP3C454</t>
  </si>
  <si>
    <t>DP2Q252</t>
  </si>
  <si>
    <t>DP2Y126</t>
  </si>
  <si>
    <t>DP2X206</t>
  </si>
  <si>
    <t>DP2F160</t>
  </si>
  <si>
    <t>DP2U175</t>
  </si>
  <si>
    <t>DP3F349</t>
  </si>
  <si>
    <t>DP2X260</t>
  </si>
  <si>
    <t>DP2D185</t>
  </si>
  <si>
    <t>DP3P494</t>
  </si>
  <si>
    <t>DP3A425</t>
  </si>
  <si>
    <t>DP3Y585</t>
  </si>
  <si>
    <t>DP3B426</t>
  </si>
  <si>
    <t>DP3K327</t>
  </si>
  <si>
    <t>DP3M410</t>
  </si>
  <si>
    <t>DP2L112</t>
  </si>
  <si>
    <t>DP2I109</t>
  </si>
  <si>
    <t>DP2R172</t>
  </si>
  <si>
    <t>DP3N330</t>
  </si>
  <si>
    <t>DP3H513</t>
  </si>
  <si>
    <t>DP2C103</t>
  </si>
  <si>
    <t>DP3Y477</t>
  </si>
  <si>
    <t>DP3U499</t>
  </si>
  <si>
    <t>DP2X287</t>
  </si>
  <si>
    <t>DP3N600</t>
  </si>
  <si>
    <t>DP2E132</t>
  </si>
  <si>
    <t>DP3Z394</t>
  </si>
  <si>
    <t>DP3P386</t>
  </si>
  <si>
    <t>DP3N519</t>
  </si>
  <si>
    <t>DP3S524</t>
  </si>
  <si>
    <t>DP2R253</t>
  </si>
  <si>
    <t>DP2G242</t>
  </si>
  <si>
    <t>DP2Q225</t>
  </si>
  <si>
    <t>DP2O223</t>
  </si>
  <si>
    <t>DP3V311</t>
  </si>
  <si>
    <t>DP3K543</t>
  </si>
  <si>
    <t>DP3A587</t>
  </si>
  <si>
    <t>DP3I433</t>
  </si>
  <si>
    <t>DP2Z286</t>
  </si>
  <si>
    <t>DP3O574</t>
  </si>
  <si>
    <t>DP3G593</t>
  </si>
  <si>
    <t>DP2J110</t>
  </si>
  <si>
    <t>DP3M437</t>
  </si>
  <si>
    <t>DP3M491</t>
  </si>
  <si>
    <t>DP2B129</t>
  </si>
  <si>
    <t>DP3C400</t>
  </si>
  <si>
    <t>DP2T228</t>
  </si>
  <si>
    <t>DP3J488</t>
  </si>
  <si>
    <t>DP2H108</t>
  </si>
  <si>
    <t>DP3D590</t>
  </si>
  <si>
    <t>DP3H378</t>
  </si>
  <si>
    <t>DP3R307</t>
  </si>
  <si>
    <t>DP3Z502</t>
  </si>
  <si>
    <t>DP2Y234</t>
  </si>
  <si>
    <t>DP2G215</t>
  </si>
  <si>
    <t>DP3L328</t>
  </si>
  <si>
    <t>DP3G377</t>
  </si>
  <si>
    <t>DP3U445</t>
  </si>
  <si>
    <t>DP2O115</t>
  </si>
  <si>
    <t>DP3R388</t>
  </si>
  <si>
    <t>DP2P170</t>
  </si>
  <si>
    <t>DP2Q279</t>
  </si>
  <si>
    <t>DP3D563</t>
  </si>
  <si>
    <t>DP3Z583</t>
  </si>
  <si>
    <t>DP3B318</t>
  </si>
  <si>
    <t>DP2K246</t>
  </si>
  <si>
    <t>DP2A290</t>
  </si>
  <si>
    <t>DP2P278</t>
  </si>
  <si>
    <t>DP2L139</t>
  </si>
  <si>
    <t>DP3V581</t>
  </si>
  <si>
    <t>DP2Z181</t>
  </si>
  <si>
    <t>DP2A263</t>
  </si>
  <si>
    <t>DP2V284</t>
  </si>
  <si>
    <t>DP3W501</t>
  </si>
  <si>
    <t>DP3V338</t>
  </si>
  <si>
    <t>DP2K300</t>
  </si>
  <si>
    <t>DP3L355</t>
  </si>
  <si>
    <t>DP3P467</t>
  </si>
  <si>
    <t>DP3N492</t>
  </si>
  <si>
    <t>DP3I487</t>
  </si>
  <si>
    <t>DP3E591</t>
  </si>
  <si>
    <t>DP3M518</t>
  </si>
  <si>
    <t>DP2C130</t>
  </si>
  <si>
    <t>DP3R496</t>
  </si>
  <si>
    <t>DP3Y369</t>
  </si>
  <si>
    <t>DP3O412</t>
  </si>
  <si>
    <t>DP2D239</t>
  </si>
  <si>
    <t>DP2V257</t>
  </si>
  <si>
    <t>DP3S389</t>
  </si>
  <si>
    <t>DP3L571</t>
  </si>
  <si>
    <t>DP2H135</t>
  </si>
  <si>
    <t>DP2Z262</t>
  </si>
  <si>
    <t>DP3T336</t>
  </si>
  <si>
    <t>DP3Y342</t>
  </si>
  <si>
    <t>DP2Z154</t>
  </si>
  <si>
    <t>AMOUNT</t>
  </si>
  <si>
    <t>Oduke@coriftech.com</t>
  </si>
  <si>
    <t>Bjuarez@coriftech.com</t>
  </si>
  <si>
    <t>Iselhorst@coriftech.com</t>
  </si>
  <si>
    <t>Dcobb@coriftech.com</t>
  </si>
  <si>
    <t>Lkey@coriftech.com</t>
  </si>
  <si>
    <t>Awilliams@coriftech.com</t>
  </si>
  <si>
    <t>Bnankam@coriftech.com</t>
  </si>
  <si>
    <t>Tperkins@coriftech.com</t>
  </si>
  <si>
    <t>Tabbott@coriftech.com</t>
  </si>
  <si>
    <t>Bandrea@coriftech.com</t>
  </si>
  <si>
    <t>Fjordan@coriftech.com</t>
  </si>
  <si>
    <t>Padams@coriftech.com</t>
  </si>
  <si>
    <t>Mcortez@coriftech.com</t>
  </si>
  <si>
    <t>Lgilbert@coriftech.com</t>
  </si>
  <si>
    <t>Gclubbs@coriftech.com</t>
  </si>
  <si>
    <t>Tmicheal@coriftech.com</t>
  </si>
  <si>
    <t>Aperkins@coriftech.com</t>
  </si>
  <si>
    <t>Jmckinney@coriftech.com</t>
  </si>
  <si>
    <t>Ojohnson@coriftech.com</t>
  </si>
  <si>
    <t>Aezichi@coriftech.com</t>
  </si>
  <si>
    <t>Avang@coriftech.com</t>
  </si>
  <si>
    <t>Ffelix@coriftech.com</t>
  </si>
  <si>
    <t>Mherriot@coriftech.com</t>
  </si>
  <si>
    <t>Ocanini@coriftech.com</t>
  </si>
  <si>
    <t>Iburris@coriftech.com</t>
  </si>
  <si>
    <t>Ppanovsky@coriftech.com</t>
  </si>
  <si>
    <t>Tbyrd@coriftech.com</t>
  </si>
  <si>
    <t>Amcconnell@coriftech.com</t>
  </si>
  <si>
    <t>Kbush@coriftech.com</t>
  </si>
  <si>
    <t>Lcarter@coriftech.com</t>
  </si>
  <si>
    <t>Sthomas@coriftech.com</t>
  </si>
  <si>
    <t>Ojames@coriftech.com</t>
  </si>
  <si>
    <t>Awise@coriftech.com</t>
  </si>
  <si>
    <t>Dspencer@coriftech.com</t>
  </si>
  <si>
    <t>Orod@coriftech.com</t>
  </si>
  <si>
    <t>Ayancer@coriftech.com</t>
  </si>
  <si>
    <t>tailored analysis</t>
  </si>
  <si>
    <t>1.deposit payment record across the months</t>
  </si>
  <si>
    <t>2. top 5 customer</t>
  </si>
  <si>
    <t>3. deposit / payment record per bank</t>
  </si>
  <si>
    <t xml:space="preserve">4. sum of deposit per age group </t>
  </si>
  <si>
    <t>5. deposit by payment channel</t>
  </si>
  <si>
    <t>6. deposit by gender</t>
  </si>
  <si>
    <t>Row Labels</t>
  </si>
  <si>
    <t>Grand Total</t>
  </si>
  <si>
    <t>Count of TRANSACTION ID</t>
  </si>
  <si>
    <t>AGE GROUP</t>
  </si>
  <si>
    <t>Sum of AMOUNT</t>
  </si>
  <si>
    <t>Count of AMOUNT</t>
  </si>
  <si>
    <t>MONTH</t>
  </si>
  <si>
    <t>January</t>
  </si>
  <si>
    <t>February</t>
  </si>
  <si>
    <t>March</t>
  </si>
  <si>
    <t>April</t>
  </si>
  <si>
    <t>May</t>
  </si>
  <si>
    <t>June</t>
  </si>
  <si>
    <t>July</t>
  </si>
  <si>
    <t>August</t>
  </si>
  <si>
    <t>September</t>
  </si>
  <si>
    <t>October</t>
  </si>
  <si>
    <t>November</t>
  </si>
  <si>
    <t>December</t>
  </si>
  <si>
    <t>ADULT</t>
  </si>
  <si>
    <t>OLD CITIZEN</t>
  </si>
  <si>
    <t>SENIOR CITIZEN</t>
  </si>
  <si>
    <t>TEEN</t>
  </si>
  <si>
    <t>NAME2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</si>
</sst>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
    <numFmt numFmtId="165" formatCode="_(* #,##0_);_(* \(#,##0\);_(* &quot;-&quot;??_);_(@_)"/>
  </numFmts>
  <fonts count="5" x14ac:knownFonts="1">
    <font>
      <sz val="11"/>
      <color theme="1"/>
      <name val="Calibri"/>
      <scheme val="minor"/>
    </font>
    <font>
      <sz val="11"/>
      <color theme="1"/>
      <name val="Calibri"/>
      <family val="2"/>
      <scheme val="minor"/>
    </font>
    <font>
      <sz val="11"/>
      <color theme="1"/>
      <name val="Calibri"/>
      <scheme val="minor"/>
    </font>
    <font>
      <sz val="11"/>
      <color theme="1"/>
      <name val="Calibri"/>
    </font>
    <font>
      <sz val="8"/>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14" fontId="3" fillId="0" borderId="0" xfId="0" applyNumberFormat="1" applyFont="1"/>
    <xf numFmtId="43" fontId="3" fillId="0" borderId="0" xfId="0" applyNumberFormat="1" applyFont="1"/>
    <xf numFmtId="0" fontId="0" fillId="0" borderId="0" xfId="0" pivotButton="1"/>
    <xf numFmtId="0" fontId="0" fillId="0" borderId="0" xfId="0" applyAlignment="1">
      <alignment horizontal="left"/>
    </xf>
    <xf numFmtId="14" fontId="1" fillId="0" borderId="0" xfId="0" applyNumberFormat="1" applyFont="1"/>
    <xf numFmtId="0" fontId="1" fillId="0" borderId="0" xfId="0" applyFont="1"/>
    <xf numFmtId="164" fontId="0" fillId="0" borderId="0" xfId="0" applyNumberFormat="1"/>
    <xf numFmtId="0" fontId="2" fillId="0" borderId="0" xfId="0" applyFont="1" applyAlignment="1">
      <alignment horizontal="center"/>
    </xf>
    <xf numFmtId="14" fontId="3" fillId="0" borderId="0" xfId="0" applyNumberFormat="1" applyFont="1" applyAlignment="1">
      <alignment horizontal="center"/>
    </xf>
    <xf numFmtId="0" fontId="0" fillId="0" borderId="0" xfId="0" applyAlignment="1">
      <alignment horizontal="center"/>
    </xf>
    <xf numFmtId="165" fontId="0" fillId="0" borderId="0" xfId="0" applyNumberFormat="1"/>
    <xf numFmtId="164" fontId="2" fillId="0" borderId="0" xfId="0" applyNumberFormat="1" applyFont="1"/>
  </cellXfs>
  <cellStyles count="1">
    <cellStyle name="Normal" xfId="0" builtinId="0"/>
  </cellStyles>
  <dxfs count="21">
    <dxf>
      <numFmt numFmtId="164" formatCode="&quot;$&quot;#,##0"/>
    </dxf>
    <dxf>
      <numFmt numFmtId="164" formatCode="&quot;$&quot;#,##0"/>
    </dxf>
    <dxf>
      <numFmt numFmtId="165" formatCode="_(* #,##0_);_(* \(#,##0\);_(* &quot;-&quot;??_);_(@_)"/>
    </dxf>
    <dxf>
      <numFmt numFmtId="165" formatCode="_(* #,##0_);_(* \(#,##0\);_(* &quot;-&quot;??_);_(@_)"/>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none"/>
      </font>
      <numFmt numFmtId="19" formatCode="m/d/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9" formatCode="m/d/yyyy"/>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numFmt numFmtId="164"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[coriftech detail analysis.xlsx]DEPOSITD BY PAYMENT METHOD!PivotTable2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DEPOSITE</a:t>
            </a:r>
            <a:r>
              <a:rPr lang="en-US" baseline="0"/>
              <a:t> BY PAYMENT MOTHOD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806201550387597E-2"/>
          <c:y val="0.23573529411764707"/>
          <c:w val="0.80649087468717573"/>
          <c:h val="0.76426470588235296"/>
        </c:manualLayout>
      </c:layout>
      <c:barChart>
        <c:barDir val="col"/>
        <c:grouping val="clustered"/>
        <c:varyColors val="0"/>
        <c:ser>
          <c:idx val="0"/>
          <c:order val="0"/>
          <c:tx>
            <c:strRef>
              <c:f>'DEPOSITD BY PAYMENT METHOD'!$B$3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'DEPOSITD BY PAYMENT METHOD'!$A$4:$A$9</c:f>
              <c:strCache>
                <c:ptCount val="5"/>
                <c:pt idx="0">
                  <c:v>Partner Agent</c:v>
                </c:pt>
                <c:pt idx="1">
                  <c:v>USSD</c:v>
                </c:pt>
                <c:pt idx="2">
                  <c:v>Mobile Transfer</c:v>
                </c:pt>
                <c:pt idx="3">
                  <c:v>Online Banking</c:v>
                </c:pt>
                <c:pt idx="4">
                  <c:v>Over The Counter</c:v>
                </c:pt>
              </c:strCache>
            </c:strRef>
          </c:cat>
          <c:val>
            <c:numRef>
              <c:f>'DEPOSITD BY PAYMENT METHOD'!$B$4:$B$9</c:f>
              <c:numCache>
                <c:formatCode>General</c:formatCode>
                <c:ptCount val="5"/>
                <c:pt idx="0">
                  <c:v>142</c:v>
                </c:pt>
                <c:pt idx="1">
                  <c:v>135</c:v>
                </c:pt>
                <c:pt idx="2">
                  <c:v>91</c:v>
                </c:pt>
                <c:pt idx="3">
                  <c:v>78</c:v>
                </c:pt>
                <c:pt idx="4">
                  <c:v>62</c:v>
                </c:pt>
              </c:numCache>
            </c:numRef>
          </c:val>
          <c:extLst>
            <c:ext xmlns:c16="http://schemas.microsoft.com/office/drawing/2014/chart" uri="{C3380CC4-5D6E-409C-BE32-E72D297353CC}">
              <c16:uniqueId val="{00000000-99C9-4808-A8AA-3DE56A307774}"/>
            </c:ext>
          </c:extLst>
        </c:ser>
        <c:dLbls>
          <c:dLblPos val="outEnd"/>
          <c:showLegendKey val="0"/>
          <c:showVal val="1"/>
          <c:showCatName val="0"/>
          <c:showSerName val="0"/>
          <c:showPercent val="0"/>
          <c:showBubbleSize val="0"/>
        </c:dLbls>
        <c:gapWidth val="219"/>
        <c:overlap val="-27"/>
        <c:axId val="294702256"/>
        <c:axId val="294702672"/>
      </c:barChart>
      <c:catAx>
        <c:axId val="294702256"/>
        <c:scaling>
          <c:orientation val="minMax"/>
        </c:scaling>
        <c:delete val="1"/>
        <c:axPos val="b"/>
        <c:numFmt formatCode="General" sourceLinked="1"/>
        <c:majorTickMark val="none"/>
        <c:minorTickMark val="none"/>
        <c:tickLblPos val="nextTo"/>
        <c:crossAx val="294702672"/>
        <c:crosses val="autoZero"/>
        <c:auto val="1"/>
        <c:lblAlgn val="ctr"/>
        <c:lblOffset val="100"/>
        <c:noMultiLvlLbl val="0"/>
      </c:catAx>
      <c:valAx>
        <c:axId val="294702672"/>
        <c:scaling>
          <c:orientation val="minMax"/>
        </c:scaling>
        <c:delete val="1"/>
        <c:axPos val="l"/>
        <c:numFmt formatCode="General" sourceLinked="1"/>
        <c:majorTickMark val="none"/>
        <c:minorTickMark val="none"/>
        <c:tickLblPos val="nextTo"/>
        <c:crossAx val="294702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[coriftech detail analysis.xlsx]DEPOSITE BY BANK!PivotTable3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'DEPOSITE BY BANK'!$B$3</c:f>
              <c:strCache>
                <c:ptCount val="1"/>
                <c:pt idx="0">
                  <c:v>Total</c:v>
                </c:pt>
              </c:strCache>
            </c:strRef>
          </c:tx>
          <c:spPr>
            <a:solidFill>
              <a:schemeClr val="accent1"/>
            </a:solidFill>
            <a:ln>
              <a:noFill/>
            </a:ln>
            <a:effectLst/>
          </c:spPr>
          <c:invertIfNegative val="0"/>
          <c:cat>
            <c:strRef>
              <c:f>'DEPOSITE BY BANK'!$A$4:$A$14</c:f>
              <c:strCache>
                <c:ptCount val="10"/>
                <c:pt idx="0">
                  <c:v>GTBANK PLC</c:v>
                </c:pt>
                <c:pt idx="1">
                  <c:v>ACCESS BANK</c:v>
                </c:pt>
                <c:pt idx="2">
                  <c:v>STANBIC IBTC BANK</c:v>
                </c:pt>
                <c:pt idx="3">
                  <c:v>STANDARD CHARTERED</c:v>
                </c:pt>
                <c:pt idx="4">
                  <c:v>WEMA BANK</c:v>
                </c:pt>
                <c:pt idx="5">
                  <c:v>FIDELITY BANK</c:v>
                </c:pt>
                <c:pt idx="6">
                  <c:v>ZENITH BANK</c:v>
                </c:pt>
                <c:pt idx="7">
                  <c:v>FIRST BANK</c:v>
                </c:pt>
                <c:pt idx="8">
                  <c:v>UNITED BANK FOR AFRICA</c:v>
                </c:pt>
                <c:pt idx="9">
                  <c:v>UNION BANK</c:v>
                </c:pt>
              </c:strCache>
            </c:strRef>
          </c:cat>
          <c:val>
            <c:numRef>
              <c:f>'DEPOSITE BY BANK'!$B$4:$B$14</c:f>
              <c:numCache>
                <c:formatCode>"$"#,##0</c:formatCode>
                <c:ptCount val="10"/>
                <c:pt idx="0">
                  <c:v>1990613</c:v>
                </c:pt>
                <c:pt idx="1">
                  <c:v>3845901</c:v>
                </c:pt>
                <c:pt idx="2">
                  <c:v>3956363</c:v>
                </c:pt>
                <c:pt idx="3">
                  <c:v>4022720</c:v>
                </c:pt>
                <c:pt idx="4">
                  <c:v>4065231</c:v>
                </c:pt>
                <c:pt idx="5">
                  <c:v>4554980</c:v>
                </c:pt>
                <c:pt idx="6">
                  <c:v>4711588</c:v>
                </c:pt>
                <c:pt idx="7">
                  <c:v>6082904</c:v>
                </c:pt>
                <c:pt idx="8">
                  <c:v>7363964</c:v>
                </c:pt>
                <c:pt idx="9">
                  <c:v>8908186</c:v>
                </c:pt>
              </c:numCache>
            </c:numRef>
          </c:val>
          <c:extLst>
            <c:ext xmlns:c16="http://schemas.microsoft.com/office/drawing/2014/chart" uri="{C3380CC4-5D6E-409C-BE32-E72D297353CC}">
              <c16:uniqueId val="{00000000-8382-42ED-A953-8D109395DA05}"/>
            </c:ext>
          </c:extLst>
        </c:ser>
        <c:dLbls>
          <c:showLegendKey val="0"/>
          <c:showVal val="0"/>
          <c:showCatName val="0"/>
          <c:showSerName val="0"/>
          <c:showPercent val="0"/>
          <c:showBubbleSize val="0"/>
        </c:dLbls>
        <c:gapWidth val="219"/>
        <c:overlap val="-27"/>
        <c:axId val="284514927"/>
        <c:axId val="284511567"/>
      </c:barChart>
      <c:catAx>
        <c:axId val="284514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511567"/>
        <c:crosses val="autoZero"/>
        <c:auto val="1"/>
        <c:lblAlgn val="ctr"/>
        <c:lblOffset val="100"/>
        <c:noMultiLvlLbl val="0"/>
      </c:catAx>
      <c:valAx>
        <c:axId val="2845115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514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[coriftech detail analysis.xlsx]DEPOSITE BY GENDER!PivotTable1</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DEPOSITE</a:t>
            </a:r>
            <a:r>
              <a:rPr lang="en-US" baseline="0"/>
              <a:t> BY GENDER</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'DEPOSITE BY GENDER'!$B$3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357-4C50-9997-12DE76AA7E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357-4C50-9997-12DE76AA7EFC}"/>
              </c:ext>
            </c:extLst>
          </c:dPt>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'DEPOSITE BY GENDER'!$A$4:$A$6</c:f>
              <c:strCache>
                <c:ptCount val="2"/>
                <c:pt idx="0">
                  <c:v>Female</c:v>
                </c:pt>
                <c:pt idx="1">
                  <c:v>Male</c:v>
                </c:pt>
              </c:strCache>
            </c:strRef>
          </c:cat>
          <c:val>
            <c:numRef>
              <c:f>'DEPOSITE BY GENDER'!$B$4:$B$6</c:f>
              <c:numCache>
                <c:formatCode>General</c:formatCode>
                <c:ptCount val="2"/>
                <c:pt idx="0">
                  <c:v>242</c:v>
                </c:pt>
                <c:pt idx="1">
                  <c:v>266</c:v>
                </c:pt>
              </c:numCache>
            </c:numRef>
          </c:val>
          <c:extLst>
            <c:ext xmlns:c16="http://schemas.microsoft.com/office/drawing/2014/chart" uri="{C3380CC4-5D6E-409C-BE32-E72D297353CC}">
              <c16:uniqueId val="{00000000-F87D-45DE-893B-DC739A28AD08}"/>
            </c:ext>
          </c:extLst>
        </c:ser>
        <c:dLbls>
          <c:showLegendKey val="0"/>
          <c:showVal val="1"/>
          <c:showCatName val="0"/>
          <c:showSerName val="0"/>
          <c:showPercent val="0"/>
          <c:showBubbleSize val="0"/>
          <c:showLeaderLines val="1"/>
        </c:dLbls>
        <c:firstSliceAng val="0"/>
        <c:holeSize val="4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[coriftech detail analysis.xlsx]TOP FIVE CUSTOMER!PivotTable2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FIVE CUSTOMER'!$B$3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FIVE CUSTOMER'!$A$4:$A$9</c:f>
              <c:strCache>
                <c:ptCount val="5"/>
                <c:pt idx="0">
                  <c:v>Adeniyi Weaver</c:v>
                </c:pt>
                <c:pt idx="1">
                  <c:v>Adeniyi Tillman</c:v>
                </c:pt>
                <c:pt idx="2">
                  <c:v>Adebola Solis</c:v>
                </c:pt>
                <c:pt idx="3">
                  <c:v>Emerson Panovsky</c:v>
                </c:pt>
                <c:pt idx="4">
                  <c:v>Odumosu Duke</c:v>
                </c:pt>
              </c:strCache>
            </c:strRef>
          </c:cat>
          <c:val>
            <c:numRef>
              <c:f>'TOP FIVE CUSTOMER'!$B$4:$B$9</c:f>
              <c:numCache>
                <c:formatCode>General</c:formatCode>
                <c:ptCount val="5"/>
                <c:pt idx="0">
                  <c:v>13</c:v>
                </c:pt>
                <c:pt idx="1">
                  <c:v>14</c:v>
                </c:pt>
                <c:pt idx="2">
                  <c:v>15</c:v>
                </c:pt>
                <c:pt idx="3">
                  <c:v>18</c:v>
                </c:pt>
                <c:pt idx="4">
                  <c:v>21</c:v>
                </c:pt>
              </c:numCache>
            </c:numRef>
          </c:val>
          <c:extLst>
            <c:ext xmlns:c16="http://schemas.microsoft.com/office/drawing/2014/chart" uri="{C3380CC4-5D6E-409C-BE32-E72D297353CC}">
              <c16:uniqueId val="{00000000-C49C-47F1-AC20-213F4169C6BE}"/>
            </c:ext>
          </c:extLst>
        </c:ser>
        <c:dLbls>
          <c:dLblPos val="outEnd"/>
          <c:showLegendKey val="0"/>
          <c:showVal val="1"/>
          <c:showCatName val="0"/>
          <c:showSerName val="0"/>
          <c:showPercent val="0"/>
          <c:showBubbleSize val="0"/>
        </c:dLbls>
        <c:gapWidth val="219"/>
        <c:overlap val="-27"/>
        <c:axId val="616125488"/>
        <c:axId val="616125904"/>
      </c:barChart>
      <c:catAx>
        <c:axId val="616125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125904"/>
        <c:crosses val="autoZero"/>
        <c:auto val="1"/>
        <c:lblAlgn val="ctr"/>
        <c:lblOffset val="100"/>
        <c:noMultiLvlLbl val="0"/>
      </c:catAx>
      <c:valAx>
        <c:axId val="6161259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1254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[coriftech detail analysis.xlsx]DEPOSITE PAYMENT ACROSS MONTH!PivotTable6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DEPOSITE</a:t>
            </a:r>
            <a:r>
              <a:rPr lang="en-US" baseline="0"/>
              <a:t> PAYMENT ACROSS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'DEPOSITE PAYMENT ACROSS MONTH'!$B$3</c:f>
              <c:strCache>
                <c:ptCount val="1"/>
                <c:pt idx="0">
                  <c:v>Total</c:v>
                </c:pt>
              </c:strCache>
            </c:strRef>
          </c:tx>
          <c:spPr>
            <a:ln w="28575" cap="rnd">
              <a:solidFill>
                <a:schemeClr val="accent1"/>
              </a:solidFill>
              <a:round/>
            </a:ln>
            <a:effectLst/>
          </c:spPr>
          <c:marker>
            <c:symbol val="none"/>
          </c:marker>
          <c:cat>
            <c:strRef>
              <c:f>'DEPOSITE PAYMENT ACROSS MONTH'!$A$4:$A$16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'DEPOSITE PAYMENT ACROSS MONTH'!$B$4:$B$16</c:f>
              <c:numCache>
                <c:formatCode>_(* #,##0_);_(* \(#,##0\);_(* "-"??_);_(@_)</c:formatCode>
                <c:ptCount val="12"/>
                <c:pt idx="0">
                  <c:v>4366612</c:v>
                </c:pt>
                <c:pt idx="1">
                  <c:v>4263845</c:v>
                </c:pt>
                <c:pt idx="2">
                  <c:v>4818651</c:v>
                </c:pt>
                <c:pt idx="3">
                  <c:v>2941880</c:v>
                </c:pt>
                <c:pt idx="4">
                  <c:v>4807860</c:v>
                </c:pt>
                <c:pt idx="5">
                  <c:v>4670933</c:v>
                </c:pt>
                <c:pt idx="6">
                  <c:v>3877417</c:v>
                </c:pt>
                <c:pt idx="7">
                  <c:v>5426980</c:v>
                </c:pt>
                <c:pt idx="8">
                  <c:v>3249630</c:v>
                </c:pt>
                <c:pt idx="9">
                  <c:v>3791836</c:v>
                </c:pt>
                <c:pt idx="10">
                  <c:v>3558668</c:v>
                </c:pt>
                <c:pt idx="11">
                  <c:v>3728138</c:v>
                </c:pt>
              </c:numCache>
            </c:numRef>
          </c:val>
          <c:smooth val="0"/>
          <c:extLst>
            <c:ext xmlns:c16="http://schemas.microsoft.com/office/drawing/2014/chart" uri="{C3380CC4-5D6E-409C-BE32-E72D297353CC}">
              <c16:uniqueId val="{00000000-3C7D-4375-803E-4451F90555EA}"/>
            </c:ext>
          </c:extLst>
        </c:ser>
        <c:dLbls>
          <c:showLegendKey val="0"/>
          <c:showVal val="0"/>
          <c:showCatName val="0"/>
          <c:showSerName val="0"/>
          <c:showPercent val="0"/>
          <c:showBubbleSize val="0"/>
        </c:dLbls>
        <c:smooth val="0"/>
        <c:axId val="495801296"/>
        <c:axId val="495799632"/>
      </c:lineChart>
      <c:catAx>
        <c:axId val="495801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799632"/>
        <c:crosses val="autoZero"/>
        <c:auto val="1"/>
        <c:lblAlgn val="ctr"/>
        <c:lblOffset val="100"/>
        <c:noMultiLvlLbl val="0"/>
      </c:catAx>
      <c:valAx>
        <c:axId val="495799632"/>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801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[coriftech detail analysis.xlsx]DEPOSITE PER  AGE GROUP!PivotTable7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DEPOSITE</a:t>
            </a:r>
            <a:r>
              <a:rPr lang="en-US" baseline="0"/>
              <a:t> PER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'DEPOSITE PER  AGE GROUP'!$B$3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5C0-4503-8302-BAAFA2021B9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5C0-4503-8302-BAAFA2021B9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5C0-4503-8302-BAAFA2021B9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5C0-4503-8302-BAAFA2021B9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5C0-4503-8302-BAAFA2021B9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'DEPOSITE PER  AGE GROUP'!$A$4:$A$8</c:f>
              <c:strCache>
                <c:ptCount val="4"/>
                <c:pt idx="0">
                  <c:v>ADULT</c:v>
                </c:pt>
                <c:pt idx="1">
                  <c:v>OLD CITIZEN</c:v>
                </c:pt>
                <c:pt idx="2">
                  <c:v>SENIOR CITIZEN</c:v>
                </c:pt>
                <c:pt idx="3">
                  <c:v>TEEN</c:v>
                </c:pt>
              </c:strCache>
            </c:strRef>
          </c:cat>
          <c:val>
            <c:numRef>
              <c:f>'DEPOSITE PER  AGE GROUP'!$B$4:$B$8</c:f>
              <c:numCache>
                <c:formatCode>"$"#,##0</c:formatCode>
                <c:ptCount val="4"/>
                <c:pt idx="0">
                  <c:v>18433996</c:v>
                </c:pt>
                <c:pt idx="1">
                  <c:v>15102278</c:v>
                </c:pt>
                <c:pt idx="2">
                  <c:v>14218644</c:v>
                </c:pt>
                <c:pt idx="3">
                  <c:v>1747532</c:v>
                </c:pt>
              </c:numCache>
            </c:numRef>
          </c:val>
          <c:extLst>
            <c:ext xmlns:c16="http://schemas.microsoft.com/office/drawing/2014/chart" uri="{C3380CC4-5D6E-409C-BE32-E72D297353CC}">
              <c16:uniqueId val="{00000000-C0E8-4B36-9240-034E2E89F04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[coriftech detail analysis.xlsx]DEPOSITE PAYMENT ACROSS MONTH!PivotTable6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DEPOSIT PAYMENT ACROSS MONTH</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'DEPOSITE PAYMENT ACROSS MONTH'!$B$3</c:f>
              <c:strCache>
                <c:ptCount val="1"/>
                <c:pt idx="0">
                  <c:v>Total</c:v>
                </c:pt>
              </c:strCache>
            </c:strRef>
          </c:tx>
          <c:spPr>
            <a:ln w="28575" cap="rnd">
              <a:solidFill>
                <a:schemeClr val="accent1"/>
              </a:solidFill>
              <a:round/>
            </a:ln>
            <a:effectLst/>
          </c:spPr>
          <c:marker>
            <c:symbol val="none"/>
          </c:marker>
          <c:cat>
            <c:strRef>
              <c:f>'DEPOSITE PAYMENT ACROSS MONTH'!$A$4:$A$16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'DEPOSITE PAYMENT ACROSS MONTH'!$B$4:$B$16</c:f>
              <c:numCache>
                <c:formatCode>_(* #,##0_);_(* \(#,##0\);_(* "-"??_);_(@_)</c:formatCode>
                <c:ptCount val="12"/>
                <c:pt idx="0">
                  <c:v>4366612</c:v>
                </c:pt>
                <c:pt idx="1">
                  <c:v>4263845</c:v>
                </c:pt>
                <c:pt idx="2">
                  <c:v>4818651</c:v>
                </c:pt>
                <c:pt idx="3">
                  <c:v>2941880</c:v>
                </c:pt>
                <c:pt idx="4">
                  <c:v>4807860</c:v>
                </c:pt>
                <c:pt idx="5">
                  <c:v>4670933</c:v>
                </c:pt>
                <c:pt idx="6">
                  <c:v>3877417</c:v>
                </c:pt>
                <c:pt idx="7">
                  <c:v>5426980</c:v>
                </c:pt>
                <c:pt idx="8">
                  <c:v>3249630</c:v>
                </c:pt>
                <c:pt idx="9">
                  <c:v>3791836</c:v>
                </c:pt>
                <c:pt idx="10">
                  <c:v>3558668</c:v>
                </c:pt>
                <c:pt idx="11">
                  <c:v>3728138</c:v>
                </c:pt>
              </c:numCache>
            </c:numRef>
          </c:val>
          <c:smooth val="0"/>
          <c:extLst>
            <c:ext xmlns:c16="http://schemas.microsoft.com/office/drawing/2014/chart" uri="{C3380CC4-5D6E-409C-BE32-E72D297353CC}">
              <c16:uniqueId val="{00000003-D34A-4D95-87F6-364B5F72CB54}"/>
            </c:ext>
          </c:extLst>
        </c:ser>
        <c:dLbls>
          <c:showLegendKey val="0"/>
          <c:showVal val="0"/>
          <c:showCatName val="0"/>
          <c:showSerName val="0"/>
          <c:showPercent val="0"/>
          <c:showBubbleSize val="0"/>
        </c:dLbls>
        <c:smooth val="0"/>
        <c:axId val="293325872"/>
        <c:axId val="293324624"/>
      </c:lineChart>
      <c:catAx>
        <c:axId val="2933258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324624"/>
        <c:crosses val="autoZero"/>
        <c:auto val="1"/>
        <c:lblAlgn val="ctr"/>
        <c:lblOffset val="100"/>
        <c:noMultiLvlLbl val="0"/>
      </c:catAx>
      <c:valAx>
        <c:axId val="293324624"/>
        <c:scaling>
          <c:orientation val="minMax"/>
        </c:scaling>
        <c:delete val="0"/>
        <c:axPos val="l"/>
        <c:numFmt formatCode="_(* #,##0_);_(* \(#,##0\);_(* &quot;-&quot;??_);_(@_)" sourceLinked="1"/>
        <c:majorTickMark val="out"/>
        <c:minorTickMark val="none"/>
        <c:tickLblPos val="nextTo"/>
        <c:crossAx val="293325872"/>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[coriftech detail analysis.xlsx]DEPOSITD BY PAYMENT METHOD!PivotTable2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DEPOSIT</a:t>
            </a:r>
            <a:r>
              <a:rPr lang="en-US" baseline="0"/>
              <a:t> BY PAYMENT MOTHOD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'DEPOSITD BY PAYMENT METHOD'!$B$3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'DEPOSITD BY PAYMENT METHOD'!$A$4:$A$9</c:f>
              <c:strCache>
                <c:ptCount val="5"/>
                <c:pt idx="0">
                  <c:v>Partner Agent</c:v>
                </c:pt>
                <c:pt idx="1">
                  <c:v>USSD</c:v>
                </c:pt>
                <c:pt idx="2">
                  <c:v>Mobile Transfer</c:v>
                </c:pt>
                <c:pt idx="3">
                  <c:v>Online Banking</c:v>
                </c:pt>
                <c:pt idx="4">
                  <c:v>Over The Counter</c:v>
                </c:pt>
              </c:strCache>
            </c:strRef>
          </c:cat>
          <c:val>
            <c:numRef>
              <c:f>'DEPOSITD BY PAYMENT METHOD'!$B$4:$B$9</c:f>
              <c:numCache>
                <c:formatCode>General</c:formatCode>
                <c:ptCount val="5"/>
                <c:pt idx="0">
                  <c:v>142</c:v>
                </c:pt>
                <c:pt idx="1">
                  <c:v>135</c:v>
                </c:pt>
                <c:pt idx="2">
                  <c:v>91</c:v>
                </c:pt>
                <c:pt idx="3">
                  <c:v>78</c:v>
                </c:pt>
                <c:pt idx="4">
                  <c:v>62</c:v>
                </c:pt>
              </c:numCache>
            </c:numRef>
          </c:val>
          <c:extLst>
            <c:ext xmlns:c16="http://schemas.microsoft.com/office/drawing/2014/chart" uri="{C3380CC4-5D6E-409C-BE32-E72D297353CC}">
              <c16:uniqueId val="{00000000-135C-42A5-871F-C67FCBBAB697}"/>
            </c:ext>
          </c:extLst>
        </c:ser>
        <c:dLbls>
          <c:dLblPos val="outEnd"/>
          <c:showLegendKey val="0"/>
          <c:showVal val="1"/>
          <c:showCatName val="0"/>
          <c:showSerName val="0"/>
          <c:showPercent val="0"/>
          <c:showBubbleSize val="0"/>
        </c:dLbls>
        <c:gapWidth val="219"/>
        <c:overlap val="-27"/>
        <c:axId val="294702256"/>
        <c:axId val="294702672"/>
      </c:barChart>
      <c:catAx>
        <c:axId val="294702256"/>
        <c:scaling>
          <c:orientation val="minMax"/>
        </c:scaling>
        <c:delete val="1"/>
        <c:axPos val="b"/>
        <c:numFmt formatCode="General" sourceLinked="1"/>
        <c:majorTickMark val="none"/>
        <c:minorTickMark val="none"/>
        <c:tickLblPos val="nextTo"/>
        <c:crossAx val="294702672"/>
        <c:crosses val="autoZero"/>
        <c:auto val="1"/>
        <c:lblAlgn val="ctr"/>
        <c:lblOffset val="100"/>
        <c:noMultiLvlLbl val="0"/>
      </c:catAx>
      <c:valAx>
        <c:axId val="294702672"/>
        <c:scaling>
          <c:orientation val="minMax"/>
        </c:scaling>
        <c:delete val="1"/>
        <c:axPos val="l"/>
        <c:numFmt formatCode="General" sourceLinked="1"/>
        <c:majorTickMark val="none"/>
        <c:minorTickMark val="none"/>
        <c:tickLblPos val="nextTo"/>
        <c:crossAx val="2947022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[coriftech detail analysis.xlsx]DEPOSITE PER  AGE GROUP!PivotTable7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DEPOSIT</a:t>
            </a:r>
            <a:r>
              <a:rPr lang="en-US" baseline="0"/>
              <a:t> PER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'DEPOSITE PER  AGE GROUP'!$B$3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0C2-471D-BCC5-E70F5400C1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0C2-471D-BCC5-E70F5400C16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0C2-471D-BCC5-E70F5400C16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0C2-471D-BCC5-E70F5400C16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0C2-471D-BCC5-E70F5400C165}"/>
              </c:ext>
            </c:extLst>
          </c:dPt>
          <c:cat>
            <c:strRef>
              <c:f>'DEPOSITE PER  AGE GROUP'!$A$4:$A$8</c:f>
              <c:strCache>
                <c:ptCount val="4"/>
                <c:pt idx="0">
                  <c:v>ADULT</c:v>
                </c:pt>
                <c:pt idx="1">
                  <c:v>OLD CITIZEN</c:v>
                </c:pt>
                <c:pt idx="2">
                  <c:v>SENIOR CITIZEN</c:v>
                </c:pt>
                <c:pt idx="3">
                  <c:v>TEEN</c:v>
                </c:pt>
              </c:strCache>
            </c:strRef>
          </c:cat>
          <c:val>
            <c:numRef>
              <c:f>'DEPOSITE PER  AGE GROUP'!$B$4:$B$8</c:f>
              <c:numCache>
                <c:formatCode>"$"#,##0</c:formatCode>
                <c:ptCount val="4"/>
                <c:pt idx="0">
                  <c:v>18433996</c:v>
                </c:pt>
                <c:pt idx="1">
                  <c:v>15102278</c:v>
                </c:pt>
                <c:pt idx="2">
                  <c:v>14218644</c:v>
                </c:pt>
                <c:pt idx="3">
                  <c:v>1747532</c:v>
                </c:pt>
              </c:numCache>
            </c:numRef>
          </c:val>
          <c:extLst>
            <c:ext xmlns:c16="http://schemas.microsoft.com/office/drawing/2014/chart" uri="{C3380CC4-5D6E-409C-BE32-E72D297353CC}">
              <c16:uniqueId val="{0000000A-E0C2-471D-BCC5-E70F5400C16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[coriftech detail analysis.xlsx]TOP FIVE CUSTOMER!PivotTable2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318460192475943E-2"/>
          <c:y val="0.17171296296296298"/>
          <c:w val="0.90286351706036749"/>
          <c:h val="0.67003098571011954"/>
        </c:manualLayout>
      </c:layout>
      <c:barChart>
        <c:barDir val="col"/>
        <c:grouping val="clustered"/>
        <c:varyColors val="0"/>
        <c:ser>
          <c:idx val="0"/>
          <c:order val="0"/>
          <c:tx>
            <c:strRef>
              <c:f>'TOP FIVE CUSTOMER'!$B$3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FIVE CUSTOMER'!$A$4:$A$9</c:f>
              <c:strCache>
                <c:ptCount val="5"/>
                <c:pt idx="0">
                  <c:v>Adeniyi Weaver</c:v>
                </c:pt>
                <c:pt idx="1">
                  <c:v>Adeniyi Tillman</c:v>
                </c:pt>
                <c:pt idx="2">
                  <c:v>Adebola Solis</c:v>
                </c:pt>
                <c:pt idx="3">
                  <c:v>Emerson Panovsky</c:v>
                </c:pt>
                <c:pt idx="4">
                  <c:v>Odumosu Duke</c:v>
                </c:pt>
              </c:strCache>
            </c:strRef>
          </c:cat>
          <c:val>
            <c:numRef>
              <c:f>'TOP FIVE CUSTOMER'!$B$4:$B$9</c:f>
              <c:numCache>
                <c:formatCode>General</c:formatCode>
                <c:ptCount val="5"/>
                <c:pt idx="0">
                  <c:v>13</c:v>
                </c:pt>
                <c:pt idx="1">
                  <c:v>14</c:v>
                </c:pt>
                <c:pt idx="2">
                  <c:v>15</c:v>
                </c:pt>
                <c:pt idx="3">
                  <c:v>18</c:v>
                </c:pt>
                <c:pt idx="4">
                  <c:v>21</c:v>
                </c:pt>
              </c:numCache>
            </c:numRef>
          </c:val>
          <c:extLst>
            <c:ext xmlns:c16="http://schemas.microsoft.com/office/drawing/2014/chart" uri="{C3380CC4-5D6E-409C-BE32-E72D297353CC}">
              <c16:uniqueId val="{00000000-FD1B-4A4D-9997-718B18675D1D}"/>
            </c:ext>
          </c:extLst>
        </c:ser>
        <c:dLbls>
          <c:dLblPos val="outEnd"/>
          <c:showLegendKey val="0"/>
          <c:showVal val="1"/>
          <c:showCatName val="0"/>
          <c:showSerName val="0"/>
          <c:showPercent val="0"/>
          <c:showBubbleSize val="0"/>
        </c:dLbls>
        <c:gapWidth val="219"/>
        <c:overlap val="-27"/>
        <c:axId val="616125488"/>
        <c:axId val="616125904"/>
      </c:barChart>
      <c:catAx>
        <c:axId val="616125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125904"/>
        <c:crosses val="autoZero"/>
        <c:auto val="1"/>
        <c:lblAlgn val="ctr"/>
        <c:lblOffset val="100"/>
        <c:noMultiLvlLbl val="0"/>
      </c:catAx>
      <c:valAx>
        <c:axId val="6161259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1254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[coriftech detail analysis.xlsx]DEPOSITE BY GENDER!PivotTable1</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DEPOSITE</a:t>
            </a:r>
            <a:r>
              <a:rPr lang="en-US" baseline="0"/>
              <a:t> BY GENDER</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'DEPOSITE BY GENDER'!$B$3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D77-42AD-86DC-2131DB39898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D77-42AD-86DC-2131DB39898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D77-42AD-86DC-2131DB398989}"/>
              </c:ext>
            </c:extLst>
          </c:dPt>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'DEPOSITE BY GENDER'!$A$4:$A$6</c:f>
              <c:strCache>
                <c:ptCount val="2"/>
                <c:pt idx="0">
                  <c:v>Female</c:v>
                </c:pt>
                <c:pt idx="1">
                  <c:v>Male</c:v>
                </c:pt>
              </c:strCache>
            </c:strRef>
          </c:cat>
          <c:val>
            <c:numRef>
              <c:f>'DEPOSITE BY GENDER'!$B$4:$B$6</c:f>
              <c:numCache>
                <c:formatCode>General</c:formatCode>
                <c:ptCount val="2"/>
                <c:pt idx="0">
                  <c:v>242</c:v>
                </c:pt>
                <c:pt idx="1">
                  <c:v>266</c:v>
                </c:pt>
              </c:numCache>
            </c:numRef>
          </c:val>
          <c:extLst>
            <c:ext xmlns:c16="http://schemas.microsoft.com/office/drawing/2014/chart" uri="{C3380CC4-5D6E-409C-BE32-E72D297353CC}">
              <c16:uniqueId val="{00000006-DD77-42AD-86DC-2131DB398989}"/>
            </c:ext>
          </c:extLst>
        </c:ser>
        <c:dLbls>
          <c:showLegendKey val="0"/>
          <c:showVal val="1"/>
          <c:showCatName val="0"/>
          <c:showSerName val="0"/>
          <c:showPercent val="0"/>
          <c:showBubbleSize val="0"/>
          <c:showLeaderLines val="1"/>
        </c:dLbls>
        <c:firstSliceAng val="0"/>
        <c:holeSize val="4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[coriftech detail analysis.xlsx]DEPOSITE BY BANK!PivotTable3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DEPOSITE</a:t>
            </a:r>
            <a:r>
              <a:rPr lang="en-US" baseline="0"/>
              <a:t> BY BANK</a:t>
            </a:r>
            <a:endParaRPr lang="en-US"/>
          </a:p>
        </c:rich>
      </c:tx>
      <c:layout>
        <c:manualLayout>
          <c:xMode val="edge"/>
          <c:yMode val="edge"/>
          <c:x val="0.32801377952755906"/>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'DEPOSITE BY BANK'!$B$3</c:f>
              <c:strCache>
                <c:ptCount val="1"/>
                <c:pt idx="0">
                  <c:v>Total</c:v>
                </c:pt>
              </c:strCache>
            </c:strRef>
          </c:tx>
          <c:spPr>
            <a:solidFill>
              <a:schemeClr val="accent1"/>
            </a:solidFill>
            <a:ln>
              <a:noFill/>
            </a:ln>
            <a:effectLst/>
          </c:spPr>
          <c:invertIfNegative val="0"/>
          <c:cat>
            <c:strRef>
              <c:f>'DEPOSITE BY BANK'!$A$4:$A$14</c:f>
              <c:strCache>
                <c:ptCount val="10"/>
                <c:pt idx="0">
                  <c:v>GTBANK PLC</c:v>
                </c:pt>
                <c:pt idx="1">
                  <c:v>ACCESS BANK</c:v>
                </c:pt>
                <c:pt idx="2">
                  <c:v>STANBIC IBTC BANK</c:v>
                </c:pt>
                <c:pt idx="3">
                  <c:v>STANDARD CHARTERED</c:v>
                </c:pt>
                <c:pt idx="4">
                  <c:v>WEMA BANK</c:v>
                </c:pt>
                <c:pt idx="5">
                  <c:v>FIDELITY BANK</c:v>
                </c:pt>
                <c:pt idx="6">
                  <c:v>ZENITH BANK</c:v>
                </c:pt>
                <c:pt idx="7">
                  <c:v>FIRST BANK</c:v>
                </c:pt>
                <c:pt idx="8">
                  <c:v>UNITED BANK FOR AFRICA</c:v>
                </c:pt>
                <c:pt idx="9">
                  <c:v>UNION BANK</c:v>
                </c:pt>
              </c:strCache>
            </c:strRef>
          </c:cat>
          <c:val>
            <c:numRef>
              <c:f>'DEPOSITE BY BANK'!$B$4:$B$14</c:f>
              <c:numCache>
                <c:formatCode>"$"#,##0</c:formatCode>
                <c:ptCount val="10"/>
                <c:pt idx="0">
                  <c:v>1990613</c:v>
                </c:pt>
                <c:pt idx="1">
                  <c:v>3845901</c:v>
                </c:pt>
                <c:pt idx="2">
                  <c:v>3956363</c:v>
                </c:pt>
                <c:pt idx="3">
                  <c:v>4022720</c:v>
                </c:pt>
                <c:pt idx="4">
                  <c:v>4065231</c:v>
                </c:pt>
                <c:pt idx="5">
                  <c:v>4554980</c:v>
                </c:pt>
                <c:pt idx="6">
                  <c:v>4711588</c:v>
                </c:pt>
                <c:pt idx="7">
                  <c:v>6082904</c:v>
                </c:pt>
                <c:pt idx="8">
                  <c:v>7363964</c:v>
                </c:pt>
                <c:pt idx="9">
                  <c:v>8908186</c:v>
                </c:pt>
              </c:numCache>
            </c:numRef>
          </c:val>
          <c:extLst>
            <c:ext xmlns:c16="http://schemas.microsoft.com/office/drawing/2014/chart" uri="{C3380CC4-5D6E-409C-BE32-E72D297353CC}">
              <c16:uniqueId val="{00000000-6EA5-4393-88B4-772955AC7898}"/>
            </c:ext>
          </c:extLst>
        </c:ser>
        <c:dLbls>
          <c:showLegendKey val="0"/>
          <c:showVal val="0"/>
          <c:showCatName val="0"/>
          <c:showSerName val="0"/>
          <c:showPercent val="0"/>
          <c:showBubbleSize val="0"/>
        </c:dLbls>
        <c:gapWidth val="182"/>
        <c:axId val="498902192"/>
        <c:axId val="498894704"/>
      </c:barChart>
      <c:catAx>
        <c:axId val="498902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894704"/>
        <c:crosses val="autoZero"/>
        <c:auto val="1"/>
        <c:lblAlgn val="ctr"/>
        <c:lblOffset val="100"/>
        <c:noMultiLvlLbl val="0"/>
      </c:catAx>
      <c:valAx>
        <c:axId val="498894704"/>
        <c:scaling>
          <c:orientation val="minMax"/>
        </c:scaling>
        <c:delete val="1"/>
        <c:axPos val="b"/>
        <c:numFmt formatCode="&quot;$&quot;#,##0" sourceLinked="1"/>
        <c:majorTickMark val="none"/>
        <c:minorTickMark val="none"/>
        <c:tickLblPos val="nextTo"/>
        <c:crossAx val="498902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image" Target="../media/image1.emf"/><Relationship Id="rId1" Type="http://schemas.openxmlformats.org/officeDocument/2006/relationships/chart" Target="../charts/chart7.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63500</xdr:colOff>
      <xdr:row>4</xdr:row>
      <xdr:rowOff>95250</xdr:rowOff>
    </xdr:from>
    <xdr:to>
      <xdr:col>9</xdr:col>
      <xdr:colOff>501650</xdr:colOff>
      <xdr:row>18</xdr:row>
      <xdr:rowOff>107950</xdr:rowOff>
    </xdr:to>
    <xdr:graphicFrame macro="">
      <xdr:nvGraphicFramePr>
        <xdr:cNvPr id="2" name="Chart 1">
          <a:extLst>
            <a:ext uri="{FF2B5EF4-FFF2-40B4-BE49-F238E27FC236}">
              <a16:creationId xmlns:a16="http://schemas.microsoft.com/office/drawing/2014/main" id="{79BF2B03-8EC0-4D55-AD62-220273D03E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339725</xdr:colOff>
      <xdr:row>4</xdr:row>
      <xdr:rowOff>50800</xdr:rowOff>
    </xdr:from>
    <xdr:to>
      <xdr:col>11</xdr:col>
      <xdr:colOff>34925</xdr:colOff>
      <xdr:row>19</xdr:row>
      <xdr:rowOff>31750</xdr:rowOff>
    </xdr:to>
    <xdr:graphicFrame macro="">
      <xdr:nvGraphicFramePr>
        <xdr:cNvPr id="3" name="Chart 2">
          <a:extLst>
            <a:ext uri="{FF2B5EF4-FFF2-40B4-BE49-F238E27FC236}">
              <a16:creationId xmlns:a16="http://schemas.microsoft.com/office/drawing/2014/main" id="{0AE493D1-D2B2-5BAF-4406-A9C413F143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373063</xdr:colOff>
      <xdr:row>9</xdr:row>
      <xdr:rowOff>33337</xdr:rowOff>
    </xdr:from>
    <xdr:to>
      <xdr:col>10</xdr:col>
      <xdr:colOff>55563</xdr:colOff>
      <xdr:row>24</xdr:row>
      <xdr:rowOff>38100</xdr:rowOff>
    </xdr:to>
    <xdr:graphicFrame macro="">
      <xdr:nvGraphicFramePr>
        <xdr:cNvPr id="2" name="Chart 1">
          <a:extLst>
            <a:ext uri="{FF2B5EF4-FFF2-40B4-BE49-F238E27FC236}">
              <a16:creationId xmlns:a16="http://schemas.microsoft.com/office/drawing/2014/main" id="{8BB9F3C3-E58E-4CE9-AB4A-1B9DA26C01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311150</xdr:colOff>
      <xdr:row>5</xdr:row>
      <xdr:rowOff>123825</xdr:rowOff>
    </xdr:from>
    <xdr:to>
      <xdr:col>10</xdr:col>
      <xdr:colOff>6350</xdr:colOff>
      <xdr:row>20</xdr:row>
      <xdr:rowOff>104775</xdr:rowOff>
    </xdr:to>
    <xdr:graphicFrame macro="">
      <xdr:nvGraphicFramePr>
        <xdr:cNvPr id="2" name="Chart 1">
          <a:extLst>
            <a:ext uri="{FF2B5EF4-FFF2-40B4-BE49-F238E27FC236}">
              <a16:creationId xmlns:a16="http://schemas.microsoft.com/office/drawing/2014/main" id="{9BC41B0A-C3F9-449B-8F7B-60168C8419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583406</xdr:colOff>
      <xdr:row>6</xdr:row>
      <xdr:rowOff>95250</xdr:rowOff>
    </xdr:from>
    <xdr:to>
      <xdr:col>14</xdr:col>
      <xdr:colOff>265906</xdr:colOff>
      <xdr:row>24</xdr:row>
      <xdr:rowOff>38100</xdr:rowOff>
    </xdr:to>
    <xdr:graphicFrame macro="">
      <xdr:nvGraphicFramePr>
        <xdr:cNvPr id="3" name="Chart 2">
          <a:extLst>
            <a:ext uri="{FF2B5EF4-FFF2-40B4-BE49-F238E27FC236}">
              <a16:creationId xmlns:a16="http://schemas.microsoft.com/office/drawing/2014/main" id="{4C7F0AB3-1A70-4901-98EA-AFAA606823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158750</xdr:colOff>
      <xdr:row>4</xdr:row>
      <xdr:rowOff>44450</xdr:rowOff>
    </xdr:from>
    <xdr:to>
      <xdr:col>10</xdr:col>
      <xdr:colOff>241300</xdr:colOff>
      <xdr:row>18</xdr:row>
      <xdr:rowOff>88900</xdr:rowOff>
    </xdr:to>
    <xdr:graphicFrame macro="">
      <xdr:nvGraphicFramePr>
        <xdr:cNvPr id="2" name="Chart 1">
          <a:extLst>
            <a:ext uri="{FF2B5EF4-FFF2-40B4-BE49-F238E27FC236}">
              <a16:creationId xmlns:a16="http://schemas.microsoft.com/office/drawing/2014/main" id="{3CB8F1E9-CC99-4C80-B50C-90A158B66C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117159</xdr:colOff>
      <xdr:row>1</xdr:row>
      <xdr:rowOff>111126</xdr:rowOff>
    </xdr:from>
    <xdr:to>
      <xdr:col>23</xdr:col>
      <xdr:colOff>79374</xdr:colOff>
      <xdr:row>35</xdr:row>
      <xdr:rowOff>15875</xdr:rowOff>
    </xdr:to>
    <xdr:sp macro="" textlink="">
      <xdr:nvSpPr>
        <xdr:cNvPr id="2" name="Rectangle: Rounded Corners 1">
          <a:extLst>
            <a:ext uri="{FF2B5EF4-FFF2-40B4-BE49-F238E27FC236}">
              <a16:creationId xmlns:a16="http://schemas.microsoft.com/office/drawing/2014/main" id="{4D150F5F-A7D0-44D9-802C-4CE4F9F2E827}"/>
            </a:ext>
          </a:extLst>
        </xdr:cNvPr>
        <xdr:cNvSpPr/>
      </xdr:nvSpPr>
      <xdr:spPr>
        <a:xfrm>
          <a:off x="117159" y="301626"/>
          <a:ext cx="13836965" cy="638174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95250</xdr:colOff>
      <xdr:row>8</xdr:row>
      <xdr:rowOff>140133</xdr:rowOff>
    </xdr:from>
    <xdr:to>
      <xdr:col>5</xdr:col>
      <xdr:colOff>234863</xdr:colOff>
      <xdr:row>20</xdr:row>
      <xdr:rowOff>142874</xdr:rowOff>
    </xdr:to>
    <xdr:graphicFrame macro="">
      <xdr:nvGraphicFramePr>
        <xdr:cNvPr id="3" name="Chart 2">
          <a:extLst>
            <a:ext uri="{FF2B5EF4-FFF2-40B4-BE49-F238E27FC236}">
              <a16:creationId xmlns:a16="http://schemas.microsoft.com/office/drawing/2014/main" id="{68916319-86AE-4A9D-BE75-A80C4E18EF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2</xdr:col>
      <xdr:colOff>393700</xdr:colOff>
      <xdr:row>1</xdr:row>
      <xdr:rowOff>6350</xdr:rowOff>
    </xdr:to>
    <xdr:pic>
      <xdr:nvPicPr>
        <xdr:cNvPr id="8" name="Picture 7">
          <a:extLst>
            <a:ext uri="{FF2B5EF4-FFF2-40B4-BE49-F238E27FC236}">
              <a16:creationId xmlns:a16="http://schemas.microsoft.com/office/drawing/2014/main" id="{80503B31-0C9D-4B0D-9164-008A21821E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16129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2</xdr:col>
      <xdr:colOff>393700</xdr:colOff>
      <xdr:row>1</xdr:row>
      <xdr:rowOff>6350</xdr:rowOff>
    </xdr:to>
    <xdr:pic>
      <xdr:nvPicPr>
        <xdr:cNvPr id="9" name="Picture 8">
          <a:extLst>
            <a:ext uri="{FF2B5EF4-FFF2-40B4-BE49-F238E27FC236}">
              <a16:creationId xmlns:a16="http://schemas.microsoft.com/office/drawing/2014/main" id="{1E6023DA-A135-44F4-BDC8-BD51984B07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16129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131019</xdr:colOff>
      <xdr:row>20</xdr:row>
      <xdr:rowOff>137047</xdr:rowOff>
    </xdr:from>
    <xdr:to>
      <xdr:col>5</xdr:col>
      <xdr:colOff>254000</xdr:colOff>
      <xdr:row>34</xdr:row>
      <xdr:rowOff>158750</xdr:rowOff>
    </xdr:to>
    <xdr:graphicFrame macro="">
      <xdr:nvGraphicFramePr>
        <xdr:cNvPr id="10" name="Chart 9">
          <a:extLst>
            <a:ext uri="{FF2B5EF4-FFF2-40B4-BE49-F238E27FC236}">
              <a16:creationId xmlns:a16="http://schemas.microsoft.com/office/drawing/2014/main" id="{8D7292B4-8610-497E-B22A-DA6B56F759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460375</xdr:colOff>
      <xdr:row>20</xdr:row>
      <xdr:rowOff>183267</xdr:rowOff>
    </xdr:from>
    <xdr:to>
      <xdr:col>15</xdr:col>
      <xdr:colOff>428625</xdr:colOff>
      <xdr:row>34</xdr:row>
      <xdr:rowOff>174625</xdr:rowOff>
    </xdr:to>
    <xdr:graphicFrame macro="">
      <xdr:nvGraphicFramePr>
        <xdr:cNvPr id="12" name="Chart 11">
          <a:extLst>
            <a:ext uri="{FF2B5EF4-FFF2-40B4-BE49-F238E27FC236}">
              <a16:creationId xmlns:a16="http://schemas.microsoft.com/office/drawing/2014/main" id="{6F7EC0C2-7FDD-48F3-BA59-8F784C4028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438150</xdr:colOff>
      <xdr:row>8</xdr:row>
      <xdr:rowOff>174625</xdr:rowOff>
    </xdr:from>
    <xdr:to>
      <xdr:col>19</xdr:col>
      <xdr:colOff>47625</xdr:colOff>
      <xdr:row>22</xdr:row>
      <xdr:rowOff>31750</xdr:rowOff>
    </xdr:to>
    <mc:AlternateContent xmlns:mc="http://schemas.openxmlformats.org/markup-compatibility/2006" xmlns:a14="http://schemas.microsoft.com/office/drawing/2010/main">
      <mc:Choice Requires="a14">
        <xdr:graphicFrame macro="">
          <xdr:nvGraphicFramePr>
            <xdr:cNvPr id="13" name="MONTH">
              <a:extLst>
                <a:ext uri="{FF2B5EF4-FFF2-40B4-BE49-F238E27FC236}">
                  <a16:creationId xmlns:a16="http://schemas.microsoft.com/office/drawing/2014/main" id="{F0836365-99AD-430D-AFFA-5A33CF8EF9B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9605963" y="1635125"/>
              <a:ext cx="2054225" cy="241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581024</xdr:colOff>
      <xdr:row>22</xdr:row>
      <xdr:rowOff>0</xdr:rowOff>
    </xdr:from>
    <xdr:to>
      <xdr:col>23</xdr:col>
      <xdr:colOff>63499</xdr:colOff>
      <xdr:row>35</xdr:row>
      <xdr:rowOff>47625</xdr:rowOff>
    </xdr:to>
    <mc:AlternateContent xmlns:mc="http://schemas.openxmlformats.org/markup-compatibility/2006" xmlns:a14="http://schemas.microsoft.com/office/drawing/2010/main">
      <mc:Choice Requires="a14">
        <xdr:graphicFrame macro="">
          <xdr:nvGraphicFramePr>
            <xdr:cNvPr id="14" name="GENDER">
              <a:extLst>
                <a:ext uri="{FF2B5EF4-FFF2-40B4-BE49-F238E27FC236}">
                  <a16:creationId xmlns:a16="http://schemas.microsoft.com/office/drawing/2014/main" id="{62613A25-2D75-4C4F-96B4-E4496F58D72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582399" y="4016375"/>
              <a:ext cx="2538413" cy="24209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412749</xdr:colOff>
      <xdr:row>22</xdr:row>
      <xdr:rowOff>15875</xdr:rowOff>
    </xdr:from>
    <xdr:to>
      <xdr:col>19</xdr:col>
      <xdr:colOff>15874</xdr:colOff>
      <xdr:row>35</xdr:row>
      <xdr:rowOff>63500</xdr:rowOff>
    </xdr:to>
    <mc:AlternateContent xmlns:mc="http://schemas.openxmlformats.org/markup-compatibility/2006" xmlns:a14="http://schemas.microsoft.com/office/drawing/2010/main">
      <mc:Choice Requires="a14">
        <xdr:graphicFrame macro="">
          <xdr:nvGraphicFramePr>
            <xdr:cNvPr id="15" name="AGE">
              <a:extLst>
                <a:ext uri="{FF2B5EF4-FFF2-40B4-BE49-F238E27FC236}">
                  <a16:creationId xmlns:a16="http://schemas.microsoft.com/office/drawing/2014/main" id="{E8ED6E09-ED87-43C9-8D6A-9AE0A456FD2B}"/>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9580562" y="4032250"/>
              <a:ext cx="2047875" cy="24209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31750</xdr:colOff>
      <xdr:row>9</xdr:row>
      <xdr:rowOff>1</xdr:rowOff>
    </xdr:from>
    <xdr:to>
      <xdr:col>23</xdr:col>
      <xdr:colOff>95250</xdr:colOff>
      <xdr:row>22</xdr:row>
      <xdr:rowOff>47625</xdr:rowOff>
    </xdr:to>
    <mc:AlternateContent xmlns:mc="http://schemas.openxmlformats.org/markup-compatibility/2006" xmlns:a14="http://schemas.microsoft.com/office/drawing/2010/main">
      <mc:Choice Requires="a14">
        <xdr:graphicFrame macro="">
          <xdr:nvGraphicFramePr>
            <xdr:cNvPr id="16" name="PAYMENT METHOD">
              <a:extLst>
                <a:ext uri="{FF2B5EF4-FFF2-40B4-BE49-F238E27FC236}">
                  <a16:creationId xmlns:a16="http://schemas.microsoft.com/office/drawing/2014/main" id="{DFD290CF-5181-4276-8F80-E2F8EC62A397}"/>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1644313" y="1643064"/>
              <a:ext cx="2508250" cy="24209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142875</xdr:colOff>
      <xdr:row>2</xdr:row>
      <xdr:rowOff>15875</xdr:rowOff>
    </xdr:from>
    <xdr:to>
      <xdr:col>19</xdr:col>
      <xdr:colOff>523875</xdr:colOff>
      <xdr:row>8</xdr:row>
      <xdr:rowOff>63500</xdr:rowOff>
    </xdr:to>
    <xdr:sp macro="" textlink="">
      <xdr:nvSpPr>
        <xdr:cNvPr id="17" name="Rectangle: Rounded Corners 16">
          <a:extLst>
            <a:ext uri="{FF2B5EF4-FFF2-40B4-BE49-F238E27FC236}">
              <a16:creationId xmlns:a16="http://schemas.microsoft.com/office/drawing/2014/main" id="{5478EA45-3B7E-4116-9D60-13EA5C8F6218}"/>
            </a:ext>
          </a:extLst>
        </xdr:cNvPr>
        <xdr:cNvSpPr/>
      </xdr:nvSpPr>
      <xdr:spPr>
        <a:xfrm>
          <a:off x="1349375" y="396875"/>
          <a:ext cx="10636250" cy="11906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280330</xdr:colOff>
      <xdr:row>3</xdr:row>
      <xdr:rowOff>109963</xdr:rowOff>
    </xdr:from>
    <xdr:to>
      <xdr:col>19</xdr:col>
      <xdr:colOff>431322</xdr:colOff>
      <xdr:row>8</xdr:row>
      <xdr:rowOff>11981</xdr:rowOff>
    </xdr:to>
    <xdr:sp macro="" textlink="">
      <xdr:nvSpPr>
        <xdr:cNvPr id="19" name="TextBox 18">
          <a:extLst>
            <a:ext uri="{FF2B5EF4-FFF2-40B4-BE49-F238E27FC236}">
              <a16:creationId xmlns:a16="http://schemas.microsoft.com/office/drawing/2014/main" id="{B3766AC0-BCCB-483B-AA2F-00E24FE2021F}"/>
            </a:ext>
          </a:extLst>
        </xdr:cNvPr>
        <xdr:cNvSpPr txBox="1"/>
      </xdr:nvSpPr>
      <xdr:spPr>
        <a:xfrm>
          <a:off x="1502405" y="649114"/>
          <a:ext cx="10538634" cy="8006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1" baseline="0">
              <a:latin typeface="+mn-lt"/>
            </a:rPr>
            <a:t>CORIFTECH SALE ANALYSIS</a:t>
          </a:r>
          <a:endParaRPr lang="en-US" sz="3600" b="1">
            <a:latin typeface="+mn-lt"/>
          </a:endParaRPr>
        </a:p>
      </xdr:txBody>
    </xdr:sp>
    <xdr:clientData/>
  </xdr:twoCellAnchor>
  <xdr:twoCellAnchor>
    <xdr:from>
      <xdr:col>5</xdr:col>
      <xdr:colOff>174625</xdr:colOff>
      <xdr:row>8</xdr:row>
      <xdr:rowOff>95250</xdr:rowOff>
    </xdr:from>
    <xdr:to>
      <xdr:col>10</xdr:col>
      <xdr:colOff>460373</xdr:colOff>
      <xdr:row>21</xdr:row>
      <xdr:rowOff>0</xdr:rowOff>
    </xdr:to>
    <xdr:graphicFrame macro="">
      <xdr:nvGraphicFramePr>
        <xdr:cNvPr id="18" name="Chart 17">
          <a:extLst>
            <a:ext uri="{FF2B5EF4-FFF2-40B4-BE49-F238E27FC236}">
              <a16:creationId xmlns:a16="http://schemas.microsoft.com/office/drawing/2014/main" id="{C3942B57-5BF0-4567-AD58-7DD4324BC8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269876</xdr:colOff>
      <xdr:row>21</xdr:row>
      <xdr:rowOff>15875</xdr:rowOff>
    </xdr:from>
    <xdr:to>
      <xdr:col>10</xdr:col>
      <xdr:colOff>484189</xdr:colOff>
      <xdr:row>35</xdr:row>
      <xdr:rowOff>15875</xdr:rowOff>
    </xdr:to>
    <xdr:graphicFrame macro="">
      <xdr:nvGraphicFramePr>
        <xdr:cNvPr id="20" name="Chart 19">
          <a:extLst>
            <a:ext uri="{FF2B5EF4-FFF2-40B4-BE49-F238E27FC236}">
              <a16:creationId xmlns:a16="http://schemas.microsoft.com/office/drawing/2014/main" id="{7CE83CFA-9161-4712-A978-8E840A9BDD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460375</xdr:colOff>
      <xdr:row>8</xdr:row>
      <xdr:rowOff>87313</xdr:rowOff>
    </xdr:from>
    <xdr:to>
      <xdr:col>15</xdr:col>
      <xdr:colOff>476250</xdr:colOff>
      <xdr:row>21</xdr:row>
      <xdr:rowOff>60323</xdr:rowOff>
    </xdr:to>
    <xdr:graphicFrame macro="">
      <xdr:nvGraphicFramePr>
        <xdr:cNvPr id="21" name="Chart 20">
          <a:extLst>
            <a:ext uri="{FF2B5EF4-FFF2-40B4-BE49-F238E27FC236}">
              <a16:creationId xmlns:a16="http://schemas.microsoft.com/office/drawing/2014/main" id="{BD251468-9319-4FD5-B127-70DCCE8E0F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873.507704050928" createdVersion="7" refreshedVersion="7" minRefreshableVersion="3" recordCount="508" xr:uid="{E95B8530-60B4-446D-AFFE-79AB990EC7D1}">
  <cacheSource type="worksheet">
    <worksheetSource name="Table1"/>
  </cacheSource>
  <cacheFields count="14">
    <cacheField name="MONTH" numFmtId="14">
      <sharedItems containsBlank="1" count="13">
        <s v="January"/>
        <s v="February"/>
        <s v="March"/>
        <s v="April"/>
        <s v="May"/>
        <s v="June"/>
        <s v="July"/>
        <s v="August"/>
        <s v="September"/>
        <s v="October"/>
        <s v="November"/>
        <s v="December"/>
        <m u="1"/>
      </sharedItems>
    </cacheField>
    <cacheField name="DATE" numFmtId="14">
      <sharedItems containsSemiMixedTypes="0" containsNonDate="0" containsDate="1" containsString="0" minDate="2022-01-01T00:00:00" maxDate="2023-01-01T00:00:00"/>
    </cacheField>
    <cacheField name="TRANSACTION ID" numFmtId="0">
      <sharedItems/>
    </cacheField>
    <cacheField name="NAME" numFmtId="0">
      <sharedItems/>
    </cacheField>
    <cacheField name="NAME2" numFmtId="0">
      <sharedItems/>
    </cacheField>
    <cacheField name="EMAIL" numFmtId="0">
      <sharedItems/>
    </cacheField>
    <cacheField name="GENDER" numFmtId="0">
      <sharedItems containsBlank="1" count="3">
        <s v="Male"/>
        <s v="Female"/>
        <m u="1"/>
      </sharedItems>
    </cacheField>
    <cacheField name="CUSTOMER ID" numFmtId="0">
      <sharedItems/>
    </cacheField>
    <cacheField name="CATEGORY" numFmtId="0">
      <sharedItems/>
    </cacheField>
    <cacheField name="AGE" numFmtId="0">
      <sharedItems containsSemiMixedTypes="0" containsString="0" containsNumber="1" containsInteger="1" minValue="19" maxValue="76" count="44">
        <n v="41"/>
        <n v="72"/>
        <n v="59"/>
        <n v="61"/>
        <n v="48"/>
        <n v="22"/>
        <n v="28"/>
        <n v="60"/>
        <n v="71"/>
        <n v="54"/>
        <n v="19"/>
        <n v="30"/>
        <n v="36"/>
        <n v="31"/>
        <n v="25"/>
        <n v="64"/>
        <n v="73"/>
        <n v="58"/>
        <n v="67"/>
        <n v="76"/>
        <n v="66"/>
        <n v="68"/>
        <n v="37"/>
        <n v="34"/>
        <n v="46"/>
        <n v="26"/>
        <n v="29"/>
        <n v="63"/>
        <n v="40"/>
        <n v="39"/>
        <n v="23"/>
        <n v="35"/>
        <n v="45"/>
        <n v="44"/>
        <n v="65"/>
        <n v="47"/>
        <n v="21"/>
        <n v="50"/>
        <n v="32"/>
        <n v="24"/>
        <n v="75"/>
        <n v="51"/>
        <n v="74"/>
        <n v="69"/>
      </sharedItems>
    </cacheField>
    <cacheField name="AGE GROUP" numFmtId="0">
      <sharedItems containsBlank="1" count="5">
        <s v="SENIOR CITIZEN"/>
        <s v="OLD CITIZEN"/>
        <s v="ADULT"/>
        <s v="TEEN"/>
        <m u="1"/>
      </sharedItems>
    </cacheField>
    <cacheField name="BANK" numFmtId="0">
      <sharedItems containsBlank="1" count="11">
        <s v="FIRST BANK"/>
        <s v="STANDARD CHARTERED"/>
        <s v="ACCESS BANK"/>
        <s v="FIDELITY BANK"/>
        <s v="UNITED BANK FOR AFRICA"/>
        <s v="ZENITH BANK"/>
        <s v="WEMA BANK"/>
        <s v="UNION BANK"/>
        <s v="STANBIC IBTC BANK"/>
        <s v="GTBANK PLC"/>
        <m u="1"/>
      </sharedItems>
    </cacheField>
    <cacheField name="PAYMENT METHOD" numFmtId="0">
      <sharedItems containsBlank="1" count="6">
        <s v="Mobile Transfer"/>
        <s v="Partner Agent"/>
        <s v="Over The Counter"/>
        <s v="USSD"/>
        <s v="Online Banking"/>
        <m u="1"/>
      </sharedItems>
    </cacheField>
    <cacheField name="AMOUNT" numFmtId="164">
      <sharedItems containsSemiMixedTypes="0" containsString="0" containsNumber="1" containsInteger="1" minValue="5990" maxValue="189933"/>
    </cacheField>
  </cacheFields>
  <extLst>
    <ext xmlns:x14="http://schemas.microsoft.com/office/spreadsheetml/2009/9/main" uri="{725AE2AE-9491-48be-B2B4-4EB974FC3084}">
      <x14:pivotCacheDefinition pivotCacheId="180849007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873.507708796293" createdVersion="7" refreshedVersion="7" minRefreshableVersion="3" recordCount="508" xr:uid="{98F030A6-6DA4-4B1F-A59B-9EA9A45B36F0}">
  <cacheSource type="worksheet">
    <worksheetSource ref="B2:K510" sheet="Raw Data "/>
  </cacheSource>
  <cacheFields count="10">
    <cacheField name="DATE" numFmtId="14">
      <sharedItems containsSemiMixedTypes="0" containsNonDate="0" containsDate="1" containsString="0" minDate="2022-01-01T00:00:00" maxDate="2023-01-01T00:00:00"/>
    </cacheField>
    <cacheField name="TRANSACTION ID" numFmtId="0">
      <sharedItems/>
    </cacheField>
    <cacheField name="NAME" numFmtId="0">
      <sharedItems/>
    </cacheField>
    <cacheField name="EMAIL" numFmtId="0">
      <sharedItems/>
    </cacheField>
    <cacheField name="GENDER" numFmtId="0">
      <sharedItems/>
    </cacheField>
    <cacheField name="CUSTOMER ID" numFmtId="0">
      <sharedItems/>
    </cacheField>
    <cacheField name="CATEGORY" numFmtId="0">
      <sharedItems/>
    </cacheField>
    <cacheField name="AGE" numFmtId="0">
      <sharedItems containsSemiMixedTypes="0" containsString="0" containsNumber="1" containsInteger="1" minValue="19" maxValue="76"/>
    </cacheField>
    <cacheField name="BANK" numFmtId="0">
      <sharedItems/>
    </cacheField>
    <cacheField name="PAYMENT METHOD" numFmtId="0">
      <sharedItems count="5">
        <s v="Mobile Transfer"/>
        <s v="Partner Agent"/>
        <s v="Over The Counter"/>
        <s v="USSD"/>
        <s v="Online Banking"/>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873.507709259262" createdVersion="7" refreshedVersion="7" minRefreshableVersion="3" recordCount="509" xr:uid="{858AC23D-95DF-4344-BC95-FB2DA3FB3BC9}">
  <cacheSource type="worksheet">
    <worksheetSource name="Table2"/>
  </cacheSource>
  <cacheFields count="14">
    <cacheField name="MONTH" numFmtId="0">
      <sharedItems containsBlank="1"/>
    </cacheField>
    <cacheField name="DATE" numFmtId="0">
      <sharedItems containsNonDate="0" containsDate="1" containsString="0" containsBlank="1" minDate="2022-01-01T00:00:00" maxDate="2023-01-01T00:00:00"/>
    </cacheField>
    <cacheField name="TRANSACTION ID" numFmtId="0">
      <sharedItems containsBlank="1"/>
    </cacheField>
    <cacheField name="NAME" numFmtId="0">
      <sharedItems containsBlank="1" count="100">
        <s v="Ursula Maddox"/>
        <s v="Rhona Mitchell"/>
        <s v="Oludoye Weber"/>
        <s v="Bamidele Alexander"/>
        <s v="Uriel Adams"/>
        <s v="Olaogun Gilbert"/>
        <s v="Fasinu Guzzo"/>
        <s v="Brittany Best"/>
        <s v="Odumosu Duke"/>
        <s v="Odumosu Mcclure"/>
        <s v="Bell Juarez"/>
        <s v="Ivory Selhorst"/>
        <s v="Emerson Panovsky"/>
        <s v="Temilade Knapp"/>
        <s v="Deacon Cobb"/>
        <s v="Benedict Miller"/>
        <s v="Lani Key"/>
        <s v="Akanteyon Williams"/>
        <s v="Hiroko Panovsky"/>
        <s v="Brynne Nankam"/>
        <s v="Taoheed Perkins"/>
        <s v="Agemo Barnes"/>
        <s v="Taoheed Abbott"/>
        <s v="Bakare Andrea"/>
        <s v="Adeleke Fitzpatrick"/>
        <s v="Adeniyi Chang"/>
        <s v="Celeste Miller"/>
        <s v="Olaogun Kidd"/>
        <s v="Adebola Ezichi"/>
        <s v="Peter Dixon"/>
        <s v="Latifah Ogbonna"/>
        <s v="Femi Jordan"/>
        <s v="Mercedes Selhorst"/>
        <s v="Joy Garza"/>
        <s v="Peter Adams"/>
        <s v="Maite Cortez"/>
        <s v="Athena Macdonald"/>
        <s v="Omolara Selhorst"/>
        <s v="Adeniyi Tillman"/>
        <s v="Omolara Ferris"/>
        <s v="Olayinka Humphrey"/>
        <s v="Leonard Gilbert"/>
        <s v="Adeniyi Weaver"/>
        <s v="Paul Ferris"/>
        <s v="Liberty Barnett"/>
        <s v="George Clubbs"/>
        <s v="Nell Yancer"/>
        <s v="Toyin Micheal"/>
        <s v="Lesly Porter"/>
        <s v="Aretha Perkins"/>
        <s v="Jelani Mckinney"/>
        <s v="Adebola Solis"/>
        <s v="Keaton Jimenez"/>
        <s v="Ehindero Matt"/>
        <s v="Oludaisi Johnson"/>
        <s v="Cyrus Smith"/>
        <s v="Ayo Ezichi"/>
        <s v="Ayo Vang"/>
        <s v="Noel Mack"/>
        <s v="Small Orr"/>
        <s v="Forrest Felix"/>
        <s v="Morgan Herriot"/>
        <s v="Brett Fernandez"/>
        <s v="Noble Hicks"/>
        <s v="Amery Jacob"/>
        <s v="Okediran Mitchell"/>
        <s v="Olayinka Canini"/>
        <s v="Ingrid Burris"/>
        <s v="Taibat Dennis"/>
        <s v="Akanteyon Knowles"/>
        <s v="Jerry Ellis"/>
        <s v="Petra Panovsky"/>
        <s v="Fasinu Adams"/>
        <s v="Fletcher Merritt"/>
        <s v="Thomas Byrd"/>
        <s v="Eleanor Duane"/>
        <s v="Saheed Warner"/>
        <s v="Jared Dennis"/>
        <s v="Isadora Jones"/>
        <s v="Adeniyi Mcconnell"/>
        <s v="Kehinde Bush"/>
        <s v="Lael Carter"/>
        <s v="Saheed Thomas"/>
        <s v="Ehindero Adams"/>
        <s v="Oluwafunmi James"/>
        <s v="Robert Jones"/>
        <s v="Ayo Wise"/>
        <s v="Ebuka Mercer"/>
        <s v="Desirae Spencer"/>
        <s v="Oprah Rod"/>
        <s v="Isaac Matt"/>
        <s v="Toyin Douglas"/>
        <s v="Amber Yancer"/>
        <s v="Joy Callistus"/>
        <s v="James Mccarty"/>
        <s v="Sawyer Herriot"/>
        <s v="Nyssa Walton"/>
        <s v="Gwendolyn Apple"/>
        <s v="Winifred Ogbonna"/>
        <m/>
      </sharedItems>
    </cacheField>
    <cacheField name="EMAIL" numFmtId="0">
      <sharedItems containsBlank="1"/>
    </cacheField>
    <cacheField name="GENDER" numFmtId="0">
      <sharedItems containsBlank="1"/>
    </cacheField>
    <cacheField name="CUSTOMER ID" numFmtId="0">
      <sharedItems containsBlank="1"/>
    </cacheField>
    <cacheField name="CATEGORY" numFmtId="0">
      <sharedItems containsBlank="1"/>
    </cacheField>
    <cacheField name="AGE" numFmtId="0">
      <sharedItems containsString="0" containsBlank="1" containsNumber="1" containsInteger="1" minValue="19" maxValue="76"/>
    </cacheField>
    <cacheField name="AGE GROUP" numFmtId="0">
      <sharedItems containsBlank="1"/>
    </cacheField>
    <cacheField name="BANK" numFmtId="0">
      <sharedItems containsBlank="1"/>
    </cacheField>
    <cacheField name="PAYMENT METHOD" numFmtId="0">
      <sharedItems containsBlank="1"/>
    </cacheField>
    <cacheField name="TRANSACTION ID2" numFmtId="0">
      <sharedItems containsBlank="1"/>
    </cacheField>
    <cacheField name="AMOUNT" numFmtId="0">
      <sharedItems containsString="0" containsBlank="1" containsNumber="1" containsInteger="1" minValue="5990" maxValue="18993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8">
  <r>
    <x v="0"/>
    <d v="2022-01-01T00:00:00"/>
    <s v="DP3A344"/>
    <s v="URSULA MADDOX"/>
    <s v="Ursula Maddox"/>
    <s v="Umaddox@gmail.com"/>
    <x v="0"/>
    <s v="PVC2023166"/>
    <s v="Standard"/>
    <x v="0"/>
    <x v="0"/>
    <x v="0"/>
    <x v="0"/>
    <n v="155937"/>
  </r>
  <r>
    <x v="0"/>
    <d v="2022-01-01T00:00:00"/>
    <s v="DP3T417"/>
    <s v="RHONA MITCHELL"/>
    <s v="Rhona Mitchell"/>
    <s v="Rmitchell@gmail.com"/>
    <x v="1"/>
    <s v="PVC2023141"/>
    <s v="Premium"/>
    <x v="1"/>
    <x v="1"/>
    <x v="1"/>
    <x v="1"/>
    <n v="128189"/>
  </r>
  <r>
    <x v="0"/>
    <d v="2022-01-03T00:00:00"/>
    <s v="DP2A236"/>
    <s v="OLUDOYE WEBER"/>
    <s v="Oludoye Weber"/>
    <s v="Oweber@ymail.com"/>
    <x v="1"/>
    <s v="PVC2023196"/>
    <s v="Gold"/>
    <x v="2"/>
    <x v="0"/>
    <x v="2"/>
    <x v="2"/>
    <n v="155128"/>
  </r>
  <r>
    <x v="0"/>
    <d v="2022-01-03T00:00:00"/>
    <s v="DP2G296"/>
    <s v="BAMIDELE ALEXANDER"/>
    <s v="Bamidele Alexander"/>
    <s v="Balexander@ymail.com"/>
    <x v="0"/>
    <s v="PVC2023113"/>
    <s v="Premium"/>
    <x v="3"/>
    <x v="1"/>
    <x v="3"/>
    <x v="0"/>
    <n v="153624"/>
  </r>
  <r>
    <x v="0"/>
    <d v="2022-01-03T00:00:00"/>
    <s v="DP3T390"/>
    <s v="URIEL ADAMS"/>
    <s v="Uriel Adams"/>
    <s v="Uadams@gmail.com"/>
    <x v="1"/>
    <s v="PVC2023169"/>
    <s v="Standard"/>
    <x v="4"/>
    <x v="0"/>
    <x v="4"/>
    <x v="0"/>
    <n v="41949"/>
  </r>
  <r>
    <x v="0"/>
    <d v="2022-01-03T00:00:00"/>
    <s v="DP3N384"/>
    <s v="OLAOGUN GILBERT"/>
    <s v="Olaogun Gilbert"/>
    <s v="Ogilbert@gmail.com"/>
    <x v="0"/>
    <s v="PVC2023179"/>
    <s v="Standard"/>
    <x v="5"/>
    <x v="2"/>
    <x v="4"/>
    <x v="3"/>
    <n v="36016"/>
  </r>
  <r>
    <x v="0"/>
    <d v="2022-01-04T00:00:00"/>
    <s v="DP2T147"/>
    <s v="FASINU GUZZO"/>
    <s v="Fasinu Guzzo"/>
    <s v="Fguzzo@ymail.com"/>
    <x v="0"/>
    <s v="PVC2023153"/>
    <s v="Standard"/>
    <x v="3"/>
    <x v="1"/>
    <x v="5"/>
    <x v="0"/>
    <n v="72549"/>
  </r>
  <r>
    <x v="0"/>
    <d v="2022-01-05T00:00:00"/>
    <s v="DP2P116"/>
    <s v="BRITTANY BEST"/>
    <s v="Brittany Best"/>
    <s v="Bbest@gmail.com"/>
    <x v="1"/>
    <s v="PVC2023125"/>
    <s v="Premium"/>
    <x v="6"/>
    <x v="2"/>
    <x v="6"/>
    <x v="3"/>
    <n v="47186"/>
  </r>
  <r>
    <x v="0"/>
    <d v="2022-01-06T00:00:00"/>
    <s v="DP2M113"/>
    <s v="ODUMOSU DUKE"/>
    <s v="Odumosu Duke"/>
    <s v="Oduke@coriftech.com"/>
    <x v="0"/>
    <s v="PVC2023108"/>
    <s v="Standard"/>
    <x v="4"/>
    <x v="0"/>
    <x v="0"/>
    <x v="4"/>
    <n v="68759"/>
  </r>
  <r>
    <x v="0"/>
    <d v="2022-01-06T00:00:00"/>
    <s v="DP2E267"/>
    <s v="ODUMOSU MCCLURE"/>
    <s v="Odumosu Mcclure"/>
    <s v="Omcclure@gmail.com"/>
    <x v="0"/>
    <s v="PVC2023154"/>
    <s v="Standard"/>
    <x v="7"/>
    <x v="0"/>
    <x v="7"/>
    <x v="2"/>
    <n v="30461"/>
  </r>
  <r>
    <x v="0"/>
    <d v="2022-01-06T00:00:00"/>
    <s v="DP3U310"/>
    <s v="BELL JUAREZ"/>
    <s v="Bell Juarez"/>
    <s v="Bjuarez@coriftech.com"/>
    <x v="0"/>
    <s v="PVC2023173"/>
    <s v="Gold"/>
    <x v="8"/>
    <x v="1"/>
    <x v="7"/>
    <x v="2"/>
    <n v="35165"/>
  </r>
  <r>
    <x v="0"/>
    <d v="2022-01-07T00:00:00"/>
    <s v="DP3K408"/>
    <s v="IVORY SELHORST"/>
    <s v="Ivory Selhorst"/>
    <s v="Iselhorst@coriftech.com"/>
    <x v="1"/>
    <s v="PVC2023144"/>
    <s v="Premium"/>
    <x v="9"/>
    <x v="0"/>
    <x v="7"/>
    <x v="1"/>
    <n v="156507"/>
  </r>
  <r>
    <x v="0"/>
    <d v="2022-01-08T00:00:00"/>
    <s v="DP2Z235"/>
    <s v="BELL JUAREZ"/>
    <s v="Bell Juarez"/>
    <s v="Bjuarez@coriftech.com"/>
    <x v="0"/>
    <s v="PVC2023173"/>
    <s v="Gold"/>
    <x v="8"/>
    <x v="1"/>
    <x v="6"/>
    <x v="0"/>
    <n v="155786"/>
  </r>
  <r>
    <x v="0"/>
    <d v="2022-01-09T00:00:00"/>
    <s v="DP3E537"/>
    <s v="EMERSON PANOVSKY"/>
    <s v="Emerson Panovsky"/>
    <s v="Epanovsky@gmail.com"/>
    <x v="1"/>
    <s v="PVC2023198"/>
    <s v="Gold"/>
    <x v="10"/>
    <x v="3"/>
    <x v="2"/>
    <x v="3"/>
    <n v="77927"/>
  </r>
  <r>
    <x v="0"/>
    <d v="2022-01-09T00:00:00"/>
    <s v="DP3L490"/>
    <s v="TEMILADE KNAPP"/>
    <s v="Temilade Knapp"/>
    <s v="Tknapp@ymail.com"/>
    <x v="1"/>
    <s v="PVC2023187"/>
    <s v="Premium"/>
    <x v="3"/>
    <x v="1"/>
    <x v="3"/>
    <x v="0"/>
    <n v="125612"/>
  </r>
  <r>
    <x v="0"/>
    <d v="2022-01-11T00:00:00"/>
    <s v="DP2W231"/>
    <s v="DEACON COBB"/>
    <s v="Deacon Cobb"/>
    <s v="Dcobb@coriftech.com"/>
    <x v="0"/>
    <s v="PVC2023102"/>
    <s v="Gold"/>
    <x v="11"/>
    <x v="2"/>
    <x v="7"/>
    <x v="0"/>
    <n v="45602"/>
  </r>
  <r>
    <x v="0"/>
    <d v="2022-01-13T00:00:00"/>
    <s v="DP3W339"/>
    <s v="FASINU GUZZO"/>
    <s v="Fasinu Guzzo"/>
    <s v="Fguzzo@ymail.com"/>
    <x v="0"/>
    <s v="PVC2023153"/>
    <s v="Standard"/>
    <x v="3"/>
    <x v="1"/>
    <x v="5"/>
    <x v="1"/>
    <n v="132510"/>
  </r>
  <r>
    <x v="0"/>
    <d v="2022-01-14T00:00:00"/>
    <s v="DP3K570"/>
    <s v="BENEDICT MILLER"/>
    <s v="Benedict Miller"/>
    <s v="Bmiller@gmail.com"/>
    <x v="0"/>
    <s v="PVC2023118"/>
    <s v="Premium"/>
    <x v="12"/>
    <x v="2"/>
    <x v="7"/>
    <x v="0"/>
    <n v="86372"/>
  </r>
  <r>
    <x v="0"/>
    <d v="2022-01-14T00:00:00"/>
    <s v="DP3V392"/>
    <s v="ODUMOSU DUKE"/>
    <s v="Odumosu Duke"/>
    <s v="Oduke@coriftech.com"/>
    <x v="0"/>
    <s v="PVC2023108"/>
    <s v="Standard"/>
    <x v="4"/>
    <x v="0"/>
    <x v="1"/>
    <x v="1"/>
    <n v="118604"/>
  </r>
  <r>
    <x v="0"/>
    <d v="2022-01-15T00:00:00"/>
    <s v="DP3H567"/>
    <s v="LANI KEY"/>
    <s v="Lani Key"/>
    <s v="Lkey@coriftech.com"/>
    <x v="1"/>
    <s v="PVC2023130"/>
    <s v="Premium"/>
    <x v="13"/>
    <x v="2"/>
    <x v="1"/>
    <x v="3"/>
    <n v="176495"/>
  </r>
  <r>
    <x v="0"/>
    <d v="2022-01-15T00:00:00"/>
    <s v="DP3X584"/>
    <s v="BAMIDELE ALEXANDER"/>
    <s v="Bamidele Alexander"/>
    <s v="Balexander@ymail.com"/>
    <x v="0"/>
    <s v="PVC2023113"/>
    <s v="Premium"/>
    <x v="3"/>
    <x v="1"/>
    <x v="7"/>
    <x v="0"/>
    <n v="182297"/>
  </r>
  <r>
    <x v="0"/>
    <d v="2022-01-17T00:00:00"/>
    <s v="DP3F511"/>
    <s v="BELL JUAREZ"/>
    <s v="Bell Juarez"/>
    <s v="Bjuarez@coriftech.com"/>
    <x v="0"/>
    <s v="PVC2023173"/>
    <s v="Gold"/>
    <x v="8"/>
    <x v="1"/>
    <x v="5"/>
    <x v="2"/>
    <n v="95348"/>
  </r>
  <r>
    <x v="0"/>
    <d v="2022-01-18T00:00:00"/>
    <s v="DP2N114"/>
    <s v="AKANTEYON WILLIAMS"/>
    <s v="Akanteyon Williams"/>
    <s v="Awilliams@coriftech.com"/>
    <x v="1"/>
    <s v="PVC2023163"/>
    <s v="Gold"/>
    <x v="14"/>
    <x v="2"/>
    <x v="3"/>
    <x v="1"/>
    <n v="176738"/>
  </r>
  <r>
    <x v="0"/>
    <d v="2022-01-18T00:00:00"/>
    <s v="DP2G107"/>
    <s v="HIROKO PANOVSKY"/>
    <s v="Hiroko Panovsky"/>
    <s v="Hpanovsky@ymail.com"/>
    <x v="0"/>
    <s v="PVC2023182"/>
    <s v="Standard"/>
    <x v="2"/>
    <x v="0"/>
    <x v="2"/>
    <x v="3"/>
    <n v="18062"/>
  </r>
  <r>
    <x v="0"/>
    <d v="2022-01-20T00:00:00"/>
    <s v="DP2A101"/>
    <s v="BRYNNE NANKAM"/>
    <s v="Brynne Nankam"/>
    <s v="Bnankam@coriftech.com"/>
    <x v="0"/>
    <s v="PVC2023143"/>
    <s v="Gold"/>
    <x v="15"/>
    <x v="1"/>
    <x v="7"/>
    <x v="1"/>
    <n v="24533"/>
  </r>
  <r>
    <x v="0"/>
    <d v="2022-01-21T00:00:00"/>
    <s v="DP3X314"/>
    <s v="TAOHEED PERKINS"/>
    <s v="Taoheed Perkins"/>
    <s v="Tperkins@coriftech.com"/>
    <x v="1"/>
    <s v="PVC2023176"/>
    <s v="Standard"/>
    <x v="16"/>
    <x v="1"/>
    <x v="6"/>
    <x v="0"/>
    <n v="138221"/>
  </r>
  <r>
    <x v="0"/>
    <d v="2022-01-22T00:00:00"/>
    <s v="DP2D131"/>
    <s v="HIROKO PANOVSKY"/>
    <s v="Hiroko Panovsky"/>
    <s v="Hpanovsky@ymail.com"/>
    <x v="0"/>
    <s v="PVC2023182"/>
    <s v="Standard"/>
    <x v="2"/>
    <x v="0"/>
    <x v="0"/>
    <x v="1"/>
    <n v="161178"/>
  </r>
  <r>
    <x v="0"/>
    <d v="2022-01-23T00:00:00"/>
    <s v="DP3T309"/>
    <s v="AGEMO BARNES"/>
    <s v="Agemo Barnes"/>
    <s v="Abarnes@gmail.com"/>
    <x v="1"/>
    <s v="PVC2023136"/>
    <s v="Premium"/>
    <x v="17"/>
    <x v="0"/>
    <x v="5"/>
    <x v="3"/>
    <n v="105728"/>
  </r>
  <r>
    <x v="0"/>
    <d v="2022-01-25T00:00:00"/>
    <s v="DP2W123"/>
    <s v="TAOHEED ABBOTT"/>
    <s v="Taoheed Abbott"/>
    <s v="Tabbott@coriftech.com"/>
    <x v="0"/>
    <s v="PVC2023116"/>
    <s v="Standard"/>
    <x v="18"/>
    <x v="1"/>
    <x v="2"/>
    <x v="1"/>
    <n v="161776"/>
  </r>
  <r>
    <x v="0"/>
    <d v="2022-01-25T00:00:00"/>
    <s v="DP3T579"/>
    <s v="BAKARE ANDREA"/>
    <s v="Bakare Andrea"/>
    <s v="Bandrea@coriftech.com"/>
    <x v="1"/>
    <s v="PVC2023117"/>
    <s v="Gold"/>
    <x v="10"/>
    <x v="3"/>
    <x v="1"/>
    <x v="0"/>
    <n v="174578"/>
  </r>
  <r>
    <x v="0"/>
    <d v="2022-01-25T00:00:00"/>
    <s v="DP3M383"/>
    <s v="ADELEKE FITZPATRICK"/>
    <s v="Adeleke Fitzpatrick"/>
    <s v="Afitzpatrick@gmail.com"/>
    <x v="0"/>
    <s v="PVC2023148"/>
    <s v="Standard"/>
    <x v="2"/>
    <x v="0"/>
    <x v="4"/>
    <x v="0"/>
    <n v="161232"/>
  </r>
  <r>
    <x v="0"/>
    <d v="2022-01-26T00:00:00"/>
    <s v="DP3C535"/>
    <s v="ADENIYI CHANG"/>
    <s v="Adeniyi Chang"/>
    <s v="Achang@gmail.com"/>
    <x v="1"/>
    <s v="PVC2023110"/>
    <s v="Premium"/>
    <x v="19"/>
    <x v="1"/>
    <x v="3"/>
    <x v="4"/>
    <n v="124432"/>
  </r>
  <r>
    <x v="0"/>
    <d v="2022-01-26T00:00:00"/>
    <s v="DP3I352"/>
    <s v="CELESTE MILLER"/>
    <s v="Celeste Miller"/>
    <s v="Cmiller@gmail.com"/>
    <x v="1"/>
    <s v="PVC2023138"/>
    <s v="Premium"/>
    <x v="20"/>
    <x v="1"/>
    <x v="4"/>
    <x v="4"/>
    <n v="107133"/>
  </r>
  <r>
    <x v="0"/>
    <d v="2022-01-27T00:00:00"/>
    <s v="DP2I271"/>
    <s v="OLAOGUN KIDD"/>
    <s v="Olaogun Kidd"/>
    <s v="Okidd@gmail.com"/>
    <x v="0"/>
    <s v="PVC2023134"/>
    <s v="Premium"/>
    <x v="21"/>
    <x v="1"/>
    <x v="3"/>
    <x v="3"/>
    <n v="77948"/>
  </r>
  <r>
    <x v="0"/>
    <d v="2022-01-27T00:00:00"/>
    <s v="DP3Q441"/>
    <s v="ADEBOLA EZICHI"/>
    <s v="Adebola Ezichi"/>
    <s v="Aezichi@gmail.com"/>
    <x v="1"/>
    <s v="PVC2023194"/>
    <s v="Standard"/>
    <x v="22"/>
    <x v="2"/>
    <x v="1"/>
    <x v="3"/>
    <n v="158925"/>
  </r>
  <r>
    <x v="0"/>
    <d v="2022-01-27T00:00:00"/>
    <s v="DP3J569"/>
    <s v="PETER DIXON"/>
    <s v="Peter Dixon"/>
    <s v="Pdixon@gmail.com"/>
    <x v="1"/>
    <s v="PVC2023152"/>
    <s v="Standard"/>
    <x v="23"/>
    <x v="2"/>
    <x v="7"/>
    <x v="0"/>
    <n v="44520"/>
  </r>
  <r>
    <x v="0"/>
    <d v="2022-01-28T00:00:00"/>
    <s v="DP3J380"/>
    <s v="LATIFAH OGBONNA"/>
    <s v="Latifah Ogbonna"/>
    <s v="Logbonna@ymail.com"/>
    <x v="0"/>
    <s v="PVC2023111"/>
    <s v="Premium"/>
    <x v="24"/>
    <x v="0"/>
    <x v="0"/>
    <x v="1"/>
    <n v="12216"/>
  </r>
  <r>
    <x v="0"/>
    <d v="2022-01-30T00:00:00"/>
    <s v="DP3V554"/>
    <s v="FEMI JORDAN"/>
    <s v="Femi Jordan"/>
    <s v="Fjordan@coriftech.com"/>
    <x v="1"/>
    <s v="PVC2023132"/>
    <s v="Standard"/>
    <x v="21"/>
    <x v="1"/>
    <x v="8"/>
    <x v="1"/>
    <n v="127046"/>
  </r>
  <r>
    <x v="0"/>
    <d v="2022-01-31T00:00:00"/>
    <s v="DP2Z259"/>
    <s v="BELL JUAREZ"/>
    <s v="Bell Juarez"/>
    <s v="Bjuarez@coriftech.com"/>
    <x v="0"/>
    <s v="PVC2023173"/>
    <s v="Gold"/>
    <x v="8"/>
    <x v="1"/>
    <x v="7"/>
    <x v="2"/>
    <n v="89447"/>
  </r>
  <r>
    <x v="0"/>
    <d v="2022-01-31T00:00:00"/>
    <s v="DP3Z451"/>
    <s v="MERCEDES SELHORST"/>
    <s v="Mercedes Selhorst"/>
    <s v="Mselhorst@gmail.com"/>
    <x v="1"/>
    <s v="PVC2023115"/>
    <s v="Premium"/>
    <x v="21"/>
    <x v="1"/>
    <x v="0"/>
    <x v="1"/>
    <n v="68762"/>
  </r>
  <r>
    <x v="0"/>
    <d v="2022-01-31T00:00:00"/>
    <s v="DP2S254"/>
    <s v="JOY GARZA"/>
    <s v="Joy Garza"/>
    <s v="Jgarza@ymail.com"/>
    <x v="0"/>
    <s v="PVC2023147"/>
    <s v="Premium"/>
    <x v="7"/>
    <x v="0"/>
    <x v="5"/>
    <x v="0"/>
    <n v="156114"/>
  </r>
  <r>
    <x v="1"/>
    <d v="2022-02-02T00:00:00"/>
    <s v="DP3F322"/>
    <s v="PETER ADAMS"/>
    <s v="Peter Adams"/>
    <s v="Padams@coriftech.com"/>
    <x v="0"/>
    <s v="PVC2023126"/>
    <s v="Standard"/>
    <x v="15"/>
    <x v="1"/>
    <x v="4"/>
    <x v="0"/>
    <n v="167238"/>
  </r>
  <r>
    <x v="1"/>
    <d v="2022-02-03T00:00:00"/>
    <s v="DP3U526"/>
    <s v="MAITE CORTEZ"/>
    <s v="Maite Cortez"/>
    <s v="Mcortez@coriftech.com"/>
    <x v="1"/>
    <s v="PVC2023121"/>
    <s v="Gold"/>
    <x v="25"/>
    <x v="2"/>
    <x v="9"/>
    <x v="2"/>
    <n v="18396"/>
  </r>
  <r>
    <x v="1"/>
    <d v="2022-02-04T00:00:00"/>
    <s v="DP3W474"/>
    <s v="ATHENA MACDONALD"/>
    <s v="Athena Macdonald"/>
    <s v="Amacdonald@gmail.com"/>
    <x v="0"/>
    <s v="PVC2023150"/>
    <s v="Gold"/>
    <x v="26"/>
    <x v="2"/>
    <x v="8"/>
    <x v="3"/>
    <n v="156112"/>
  </r>
  <r>
    <x v="1"/>
    <d v="2022-02-05T00:00:00"/>
    <s v="DP3L544"/>
    <s v="OMOLARA SELHORST"/>
    <s v="Omolara Selhorst"/>
    <s v="Oselhorst@gmail.com"/>
    <x v="1"/>
    <s v="PVC2023178"/>
    <s v="Standard"/>
    <x v="20"/>
    <x v="1"/>
    <x v="0"/>
    <x v="1"/>
    <n v="82893"/>
  </r>
  <r>
    <x v="1"/>
    <d v="2022-02-06T00:00:00"/>
    <s v="DP3O358"/>
    <s v="JOY GARZA"/>
    <s v="Joy Garza"/>
    <s v="Jgarza@ymail.com"/>
    <x v="0"/>
    <s v="PVC2023147"/>
    <s v="Premium"/>
    <x v="7"/>
    <x v="0"/>
    <x v="7"/>
    <x v="1"/>
    <n v="74537"/>
  </r>
  <r>
    <x v="1"/>
    <d v="2022-02-06T00:00:00"/>
    <s v="DP2V122"/>
    <s v="ADENIYI TILLMAN"/>
    <s v="Adeniyi Tillman"/>
    <s v="Atillman@ymail.com"/>
    <x v="0"/>
    <s v="PVC2023119"/>
    <s v="Gold"/>
    <x v="27"/>
    <x v="1"/>
    <x v="8"/>
    <x v="3"/>
    <n v="21876"/>
  </r>
  <r>
    <x v="1"/>
    <d v="2022-02-07T00:00:00"/>
    <s v="DP2Z208"/>
    <s v="MAITE CORTEZ"/>
    <s v="Maite Cortez"/>
    <s v="Mcortez@coriftech.com"/>
    <x v="1"/>
    <s v="PVC2023121"/>
    <s v="Gold"/>
    <x v="25"/>
    <x v="2"/>
    <x v="2"/>
    <x v="0"/>
    <n v="111995"/>
  </r>
  <r>
    <x v="1"/>
    <d v="2022-02-07T00:00:00"/>
    <s v="DP3Y558"/>
    <s v="OMOLARA FERRIS"/>
    <s v="Omolara Ferris"/>
    <s v="Oferris@gmail.com"/>
    <x v="1"/>
    <s v="PVC2023185"/>
    <s v="Standard"/>
    <x v="14"/>
    <x v="2"/>
    <x v="0"/>
    <x v="3"/>
    <n v="66506"/>
  </r>
  <r>
    <x v="1"/>
    <d v="2022-02-07T00:00:00"/>
    <s v="DP3M599"/>
    <s v="EMERSON PANOVSKY"/>
    <s v="Emerson Panovsky"/>
    <s v="Epanovsky@gmail.com"/>
    <x v="1"/>
    <s v="PVC2023198"/>
    <s v="Gold"/>
    <x v="10"/>
    <x v="3"/>
    <x v="3"/>
    <x v="0"/>
    <n v="53010"/>
  </r>
  <r>
    <x v="1"/>
    <d v="2022-02-08T00:00:00"/>
    <s v="DP2C211"/>
    <s v="OLAYINKA HUMPHREY"/>
    <s v="Olayinka Humphrey"/>
    <s v="Ohumphrey@ymail.com"/>
    <x v="0"/>
    <s v="PVC2023170"/>
    <s v="Standard"/>
    <x v="7"/>
    <x v="0"/>
    <x v="4"/>
    <x v="4"/>
    <n v="62268"/>
  </r>
  <r>
    <x v="1"/>
    <d v="2022-02-09T00:00:00"/>
    <s v="DP2C184"/>
    <s v="LEONARD GILBERT"/>
    <s v="Leonard Gilbert"/>
    <s v="Lgilbert@coriftech.com"/>
    <x v="0"/>
    <s v="PVC2023186"/>
    <s v="Standard"/>
    <x v="28"/>
    <x v="2"/>
    <x v="2"/>
    <x v="0"/>
    <n v="96530"/>
  </r>
  <r>
    <x v="1"/>
    <d v="2022-02-09T00:00:00"/>
    <s v="DP2F241"/>
    <s v="FASINU GUZZO"/>
    <s v="Fasinu Guzzo"/>
    <s v="Fguzzo@ymail.com"/>
    <x v="0"/>
    <s v="PVC2023153"/>
    <s v="Standard"/>
    <x v="3"/>
    <x v="1"/>
    <x v="1"/>
    <x v="3"/>
    <n v="8145"/>
  </r>
  <r>
    <x v="1"/>
    <d v="2022-02-11T00:00:00"/>
    <s v="DP3Z421"/>
    <s v="ADENIYI WEAVER"/>
    <s v="Adeniyi Weaver"/>
    <s v="Aweaver@ymail.com"/>
    <x v="0"/>
    <s v="PVC2023105"/>
    <s v="Gold"/>
    <x v="29"/>
    <x v="2"/>
    <x v="6"/>
    <x v="3"/>
    <n v="115777"/>
  </r>
  <r>
    <x v="1"/>
    <d v="2022-02-11T00:00:00"/>
    <s v="DP3I514"/>
    <s v="PAUL FERRIS"/>
    <s v="Paul Ferris"/>
    <s v="Pferris@gmail.com"/>
    <x v="1"/>
    <s v="PVC2023181"/>
    <s v="Premium"/>
    <x v="4"/>
    <x v="0"/>
    <x v="0"/>
    <x v="3"/>
    <n v="51148"/>
  </r>
  <r>
    <x v="1"/>
    <d v="2022-02-11T00:00:00"/>
    <s v="DP2J272"/>
    <s v="BELL JUAREZ"/>
    <s v="Bell Juarez"/>
    <s v="Bjuarez@coriftech.com"/>
    <x v="0"/>
    <s v="PVC2023173"/>
    <s v="Gold"/>
    <x v="8"/>
    <x v="1"/>
    <x v="6"/>
    <x v="4"/>
    <n v="35661"/>
  </r>
  <r>
    <x v="1"/>
    <d v="2022-02-12T00:00:00"/>
    <s v="DP2U202"/>
    <s v="LIBERTY BARNETT"/>
    <s v="Liberty Barnett"/>
    <s v="Lbarnett@gmail.com"/>
    <x v="0"/>
    <s v="PVC2023103"/>
    <s v="Standard"/>
    <x v="29"/>
    <x v="2"/>
    <x v="4"/>
    <x v="3"/>
    <n v="172858"/>
  </r>
  <r>
    <x v="1"/>
    <d v="2022-02-12T00:00:00"/>
    <s v="DP3F592"/>
    <s v="GEORGE CLUBBS"/>
    <s v="George Clubbs"/>
    <s v="Gclubbs@coriftech.com"/>
    <x v="1"/>
    <s v="PVC2023109"/>
    <s v="Premium"/>
    <x v="29"/>
    <x v="2"/>
    <x v="3"/>
    <x v="3"/>
    <n v="103392"/>
  </r>
  <r>
    <x v="1"/>
    <d v="2022-02-12T00:00:00"/>
    <s v="DP3V500"/>
    <s v="BRITTANY BEST"/>
    <s v="Brittany Best"/>
    <s v="Bbest@gmail.com"/>
    <x v="1"/>
    <s v="PVC2023125"/>
    <s v="Premium"/>
    <x v="6"/>
    <x v="2"/>
    <x v="6"/>
    <x v="0"/>
    <n v="71971"/>
  </r>
  <r>
    <x v="1"/>
    <d v="2022-02-13T00:00:00"/>
    <s v="DP2Q171"/>
    <s v="EMERSON PANOVSKY"/>
    <s v="Emerson Panovsky"/>
    <s v="Epanovsky@gmail.com"/>
    <x v="1"/>
    <s v="PVC2023198"/>
    <s v="Gold"/>
    <x v="10"/>
    <x v="3"/>
    <x v="5"/>
    <x v="4"/>
    <n v="71611"/>
  </r>
  <r>
    <x v="1"/>
    <d v="2022-02-13T00:00:00"/>
    <s v="DP3S605"/>
    <s v="NELL YANCER"/>
    <s v="Nell Yancer"/>
    <s v="Nyancer@gmail.com"/>
    <x v="1"/>
    <s v="PVC2023129"/>
    <s v="Gold"/>
    <x v="26"/>
    <x v="2"/>
    <x v="2"/>
    <x v="1"/>
    <n v="27648"/>
  </r>
  <r>
    <x v="1"/>
    <d v="2022-02-14T00:00:00"/>
    <s v="DP2Z151"/>
    <s v="TOYIN MICHEAL"/>
    <s v="Toyin Micheal"/>
    <s v="Tmicheal@coriftech.com"/>
    <x v="0"/>
    <s v="PVC2023188"/>
    <s v="Standard"/>
    <x v="24"/>
    <x v="0"/>
    <x v="8"/>
    <x v="4"/>
    <n v="23131"/>
  </r>
  <r>
    <x v="1"/>
    <d v="2022-02-15T00:00:00"/>
    <s v="DP2I190"/>
    <s v="ADENIYI TILLMAN"/>
    <s v="Adeniyi Tillman"/>
    <s v="Atillman@ymail.com"/>
    <x v="0"/>
    <s v="PVC2023119"/>
    <s v="Gold"/>
    <x v="27"/>
    <x v="1"/>
    <x v="5"/>
    <x v="0"/>
    <n v="54078"/>
  </r>
  <r>
    <x v="1"/>
    <d v="2022-02-15T00:00:00"/>
    <s v="DP2Z205"/>
    <s v="BAMIDELE ALEXANDER"/>
    <s v="Bamidele Alexander"/>
    <s v="Balexander@ymail.com"/>
    <x v="0"/>
    <s v="PVC2023113"/>
    <s v="Premium"/>
    <x v="3"/>
    <x v="1"/>
    <x v="0"/>
    <x v="2"/>
    <n v="170796"/>
  </r>
  <r>
    <x v="1"/>
    <d v="2022-02-15T00:00:00"/>
    <s v="DP3D455"/>
    <s v="LESLY PORTER"/>
    <s v="Lesly Porter"/>
    <s v="Lporter@gmail.com"/>
    <x v="1"/>
    <s v="PVC2023137"/>
    <s v="Gold"/>
    <x v="21"/>
    <x v="1"/>
    <x v="2"/>
    <x v="3"/>
    <n v="19963"/>
  </r>
  <r>
    <x v="1"/>
    <d v="2022-02-15T00:00:00"/>
    <s v="DP2M194"/>
    <s v="AGEMO BARNES"/>
    <s v="Agemo Barnes"/>
    <s v="Abarnes@gmail.com"/>
    <x v="1"/>
    <s v="PVC2023136"/>
    <s v="Premium"/>
    <x v="17"/>
    <x v="0"/>
    <x v="3"/>
    <x v="4"/>
    <n v="12955"/>
  </r>
  <r>
    <x v="1"/>
    <d v="2022-02-15T00:00:00"/>
    <s v="DP2H270"/>
    <s v="BAMIDELE ALEXANDER"/>
    <s v="Bamidele Alexander"/>
    <s v="Balexander@ymail.com"/>
    <x v="0"/>
    <s v="PVC2023113"/>
    <s v="Premium"/>
    <x v="3"/>
    <x v="1"/>
    <x v="9"/>
    <x v="1"/>
    <n v="84357"/>
  </r>
  <r>
    <x v="1"/>
    <d v="2022-02-15T00:00:00"/>
    <s v="DP3P440"/>
    <s v="LIBERTY BARNETT"/>
    <s v="Liberty Barnett"/>
    <s v="Lbarnett@gmail.com"/>
    <x v="0"/>
    <s v="PVC2023103"/>
    <s v="Standard"/>
    <x v="29"/>
    <x v="2"/>
    <x v="0"/>
    <x v="1"/>
    <n v="109991"/>
  </r>
  <r>
    <x v="1"/>
    <d v="2022-02-15T00:00:00"/>
    <s v="DP3Y504"/>
    <s v="LESLY PORTER"/>
    <s v="Lesly Porter"/>
    <s v="Lporter@gmail.com"/>
    <x v="1"/>
    <s v="PVC2023137"/>
    <s v="Gold"/>
    <x v="21"/>
    <x v="1"/>
    <x v="7"/>
    <x v="1"/>
    <n v="106083"/>
  </r>
  <r>
    <x v="1"/>
    <d v="2022-02-16T00:00:00"/>
    <s v="DP2S200"/>
    <s v="JOY GARZA"/>
    <s v="Joy Garza"/>
    <s v="Jgarza@ymail.com"/>
    <x v="0"/>
    <s v="PVC2023147"/>
    <s v="Premium"/>
    <x v="7"/>
    <x v="0"/>
    <x v="1"/>
    <x v="1"/>
    <n v="38608"/>
  </r>
  <r>
    <x v="1"/>
    <d v="2022-02-16T00:00:00"/>
    <s v="DP3S362"/>
    <s v="ARETHA PERKINS"/>
    <s v="Aretha Perkins"/>
    <s v="Aperkins@coriftech.com"/>
    <x v="1"/>
    <s v="PVC2023135"/>
    <s v="Standard"/>
    <x v="30"/>
    <x v="2"/>
    <x v="3"/>
    <x v="0"/>
    <n v="82999"/>
  </r>
  <r>
    <x v="1"/>
    <d v="2022-02-17T00:00:00"/>
    <s v="DP2E186"/>
    <s v="TAOHEED PERKINS"/>
    <s v="Taoheed Perkins"/>
    <s v="Tperkins@coriftech.com"/>
    <x v="1"/>
    <s v="PVC2023176"/>
    <s v="Standard"/>
    <x v="16"/>
    <x v="1"/>
    <x v="4"/>
    <x v="4"/>
    <n v="48353"/>
  </r>
  <r>
    <x v="1"/>
    <d v="2022-02-17T00:00:00"/>
    <s v="DP3Z313"/>
    <s v="IVORY SELHORST"/>
    <s v="Ivory Selhorst"/>
    <s v="Iselhorst@coriftech.com"/>
    <x v="1"/>
    <s v="PVC2023144"/>
    <s v="Premium"/>
    <x v="9"/>
    <x v="0"/>
    <x v="4"/>
    <x v="0"/>
    <n v="157990"/>
  </r>
  <r>
    <x v="1"/>
    <d v="2022-02-18T00:00:00"/>
    <s v="DP3V527"/>
    <s v="BRITTANY BEST"/>
    <s v="Brittany Best"/>
    <s v="Bbest@gmail.com"/>
    <x v="1"/>
    <s v="PVC2023125"/>
    <s v="Premium"/>
    <x v="6"/>
    <x v="2"/>
    <x v="0"/>
    <x v="1"/>
    <n v="125429"/>
  </r>
  <r>
    <x v="1"/>
    <d v="2022-02-18T00:00:00"/>
    <s v="DP3X476"/>
    <s v="EMERSON PANOVSKY"/>
    <s v="Emerson Panovsky"/>
    <s v="Epanovsky@gmail.com"/>
    <x v="1"/>
    <s v="PVC2023198"/>
    <s v="Gold"/>
    <x v="10"/>
    <x v="3"/>
    <x v="7"/>
    <x v="1"/>
    <n v="80306"/>
  </r>
  <r>
    <x v="1"/>
    <d v="2022-02-19T00:00:00"/>
    <s v="DP3X341"/>
    <s v="LESLY PORTER"/>
    <s v="Lesly Porter"/>
    <s v="Lporter@gmail.com"/>
    <x v="1"/>
    <s v="PVC2023137"/>
    <s v="Gold"/>
    <x v="21"/>
    <x v="1"/>
    <x v="7"/>
    <x v="4"/>
    <n v="123772"/>
  </r>
  <r>
    <x v="1"/>
    <d v="2022-02-19T00:00:00"/>
    <s v="DP3M329"/>
    <s v="LANI KEY"/>
    <s v="Lani Key"/>
    <s v="Lkey@coriftech.com"/>
    <x v="1"/>
    <s v="PVC2023130"/>
    <s v="Premium"/>
    <x v="13"/>
    <x v="2"/>
    <x v="4"/>
    <x v="3"/>
    <n v="137692"/>
  </r>
  <r>
    <x v="1"/>
    <d v="2022-02-20T00:00:00"/>
    <s v="DP2Z127"/>
    <s v="JELANI MCKINNEY"/>
    <s v="Jelani Mckinney"/>
    <s v="Jmckinney@coriftech.com"/>
    <x v="1"/>
    <s v="PVC2023107"/>
    <s v="Gold"/>
    <x v="13"/>
    <x v="2"/>
    <x v="2"/>
    <x v="1"/>
    <n v="17398"/>
  </r>
  <r>
    <x v="1"/>
    <d v="2022-02-21T00:00:00"/>
    <s v="DP2S173"/>
    <s v="ADEBOLA SOLIS"/>
    <s v="Adebola Solis"/>
    <s v="Asolis@ymail.com"/>
    <x v="1"/>
    <s v="PVC2023124"/>
    <s v="Standard"/>
    <x v="26"/>
    <x v="2"/>
    <x v="8"/>
    <x v="3"/>
    <n v="123808"/>
  </r>
  <r>
    <x v="1"/>
    <d v="2022-02-22T00:00:00"/>
    <s v="DP3Z448"/>
    <s v="LATIFAH OGBONNA"/>
    <s v="Latifah Ogbonna"/>
    <s v="Logbonna@ymail.com"/>
    <x v="0"/>
    <s v="PVC2023111"/>
    <s v="Premium"/>
    <x v="24"/>
    <x v="0"/>
    <x v="3"/>
    <x v="1"/>
    <n v="155660"/>
  </r>
  <r>
    <x v="1"/>
    <d v="2022-02-22T00:00:00"/>
    <s v="DP3E456"/>
    <s v="ODUMOSU DUKE"/>
    <s v="Odumosu Duke"/>
    <s v="Oduke@coriftech.com"/>
    <x v="0"/>
    <s v="PVC2023108"/>
    <s v="Standard"/>
    <x v="4"/>
    <x v="0"/>
    <x v="6"/>
    <x v="2"/>
    <n v="77538"/>
  </r>
  <r>
    <x v="1"/>
    <d v="2022-02-22T00:00:00"/>
    <s v="DP2K273"/>
    <s v="KEATON JIMENEZ"/>
    <s v="Keaton Jimenez"/>
    <s v="Kjimenez@ymail.com"/>
    <x v="1"/>
    <s v="PVC2023165"/>
    <s v="Standard"/>
    <x v="31"/>
    <x v="2"/>
    <x v="8"/>
    <x v="0"/>
    <n v="183858"/>
  </r>
  <r>
    <x v="1"/>
    <d v="2022-02-22T00:00:00"/>
    <s v="DP3A533"/>
    <s v="EMERSON PANOVSKY"/>
    <s v="Emerson Panovsky"/>
    <s v="Epanovsky@gmail.com"/>
    <x v="1"/>
    <s v="PVC2023198"/>
    <s v="Gold"/>
    <x v="10"/>
    <x v="3"/>
    <x v="5"/>
    <x v="1"/>
    <n v="138026"/>
  </r>
  <r>
    <x v="1"/>
    <d v="2022-02-25T00:00:00"/>
    <s v="DP2T201"/>
    <s v="EHINDERO MATT"/>
    <s v="Ehindero Matt"/>
    <s v="Ematt@gmail.com"/>
    <x v="0"/>
    <s v="PVC2023104"/>
    <s v="Standard"/>
    <x v="10"/>
    <x v="3"/>
    <x v="1"/>
    <x v="4"/>
    <n v="74941"/>
  </r>
  <r>
    <x v="1"/>
    <d v="2022-02-25T00:00:00"/>
    <s v="DP2K111"/>
    <s v="OLUDAISI JOHNSON"/>
    <s v="Oludaisi Johnson"/>
    <s v="Ojohnson@coriftech.com"/>
    <x v="1"/>
    <s v="PVC2023122"/>
    <s v="Gold"/>
    <x v="32"/>
    <x v="0"/>
    <x v="2"/>
    <x v="1"/>
    <n v="158871"/>
  </r>
  <r>
    <x v="1"/>
    <d v="2022-02-26T00:00:00"/>
    <s v="DP3V608"/>
    <s v="PETER ADAMS"/>
    <s v="Peter Adams"/>
    <s v="Padams@coriftech.com"/>
    <x v="0"/>
    <s v="PVC2023126"/>
    <s v="Standard"/>
    <x v="15"/>
    <x v="1"/>
    <x v="9"/>
    <x v="1"/>
    <n v="44365"/>
  </r>
  <r>
    <x v="1"/>
    <d v="2022-02-26T00:00:00"/>
    <s v="DP2A155"/>
    <s v="ADEBOLA SOLIS"/>
    <s v="Adebola Solis"/>
    <s v="Asolis@ymail.com"/>
    <x v="1"/>
    <s v="PVC2023124"/>
    <s v="Standard"/>
    <x v="26"/>
    <x v="2"/>
    <x v="5"/>
    <x v="1"/>
    <n v="150610"/>
  </r>
  <r>
    <x v="1"/>
    <d v="2022-02-26T00:00:00"/>
    <s v="DP2F214"/>
    <s v="TAOHEED PERKINS"/>
    <s v="Taoheed Perkins"/>
    <s v="Tperkins@coriftech.com"/>
    <x v="1"/>
    <s v="PVC2023176"/>
    <s v="Standard"/>
    <x v="16"/>
    <x v="1"/>
    <x v="5"/>
    <x v="0"/>
    <n v="111299"/>
  </r>
  <r>
    <x v="1"/>
    <d v="2022-02-28T00:00:00"/>
    <s v="DP3Z424"/>
    <s v="CYRUS SMITH"/>
    <s v="Cyrus Smith"/>
    <s v="Csmith@ymail.com"/>
    <x v="0"/>
    <s v="PVC2023183"/>
    <s v="Standard"/>
    <x v="1"/>
    <x v="1"/>
    <x v="5"/>
    <x v="2"/>
    <n v="81396"/>
  </r>
  <r>
    <x v="2"/>
    <d v="2022-03-01T00:00:00"/>
    <s v="DP3A371"/>
    <s v="AYO EZICHI"/>
    <s v="Ayo Ezichi"/>
    <s v="Aezichi@coriftech.com"/>
    <x v="0"/>
    <s v="PVC2023131"/>
    <s v="Standard"/>
    <x v="28"/>
    <x v="2"/>
    <x v="8"/>
    <x v="4"/>
    <n v="110170"/>
  </r>
  <r>
    <x v="2"/>
    <d v="2022-03-03T00:00:00"/>
    <s v="DP2A209"/>
    <s v="AYO VANG"/>
    <s v="Ayo Vang"/>
    <s v="Avang@coriftech.com"/>
    <x v="0"/>
    <s v="PVC2023199"/>
    <s v="Standard"/>
    <x v="33"/>
    <x v="0"/>
    <x v="3"/>
    <x v="1"/>
    <n v="49648"/>
  </r>
  <r>
    <x v="2"/>
    <d v="2022-03-03T00:00:00"/>
    <s v="DP2L247"/>
    <s v="NOEL MACK"/>
    <s v="Noel Mack"/>
    <s v="Nmack@gmail.com"/>
    <x v="0"/>
    <s v="PVC2023139"/>
    <s v="Gold"/>
    <x v="15"/>
    <x v="1"/>
    <x v="7"/>
    <x v="3"/>
    <n v="185585"/>
  </r>
  <r>
    <x v="2"/>
    <d v="2022-03-03T00:00:00"/>
    <s v="DP3T363"/>
    <s v="ADENIYI TILLMAN"/>
    <s v="Adeniyi Tillman"/>
    <s v="Atillman@ymail.com"/>
    <x v="0"/>
    <s v="PVC2023119"/>
    <s v="Gold"/>
    <x v="27"/>
    <x v="1"/>
    <x v="4"/>
    <x v="3"/>
    <n v="134633"/>
  </r>
  <r>
    <x v="2"/>
    <d v="2022-03-03T00:00:00"/>
    <s v="DP3N465"/>
    <s v="GEORGE CLUBBS"/>
    <s v="George Clubbs"/>
    <s v="Gclubbs@coriftech.com"/>
    <x v="1"/>
    <s v="PVC2023109"/>
    <s v="Premium"/>
    <x v="29"/>
    <x v="2"/>
    <x v="6"/>
    <x v="4"/>
    <n v="44300"/>
  </r>
  <r>
    <x v="2"/>
    <d v="2022-03-04T00:00:00"/>
    <s v="DP2O250"/>
    <s v="SMALL ORR"/>
    <s v="Small Orr"/>
    <s v="Sorr@gmail.com"/>
    <x v="1"/>
    <s v="PVC2023164"/>
    <s v="Gold"/>
    <x v="28"/>
    <x v="2"/>
    <x v="5"/>
    <x v="0"/>
    <n v="36825"/>
  </r>
  <r>
    <x v="2"/>
    <d v="2022-03-04T00:00:00"/>
    <s v="DP2O196"/>
    <s v="HIROKO PANOVSKY"/>
    <s v="Hiroko Panovsky"/>
    <s v="Hpanovsky@ymail.com"/>
    <x v="0"/>
    <s v="PVC2023182"/>
    <s v="Standard"/>
    <x v="2"/>
    <x v="0"/>
    <x v="5"/>
    <x v="0"/>
    <n v="11437"/>
  </r>
  <r>
    <x v="2"/>
    <d v="2022-03-04T00:00:00"/>
    <s v="DP2F106"/>
    <s v="ODUMOSU DUKE"/>
    <s v="Odumosu Duke"/>
    <s v="Oduke@coriftech.com"/>
    <x v="0"/>
    <s v="PVC2023108"/>
    <s v="Standard"/>
    <x v="4"/>
    <x v="0"/>
    <x v="4"/>
    <x v="3"/>
    <n v="154662"/>
  </r>
  <r>
    <x v="2"/>
    <d v="2022-03-06T00:00:00"/>
    <s v="DP3Y396"/>
    <s v="URSULA MADDOX"/>
    <s v="Ursula Maddox"/>
    <s v="Umaddox@gmail.com"/>
    <x v="0"/>
    <s v="PVC2023166"/>
    <s v="Standard"/>
    <x v="0"/>
    <x v="0"/>
    <x v="1"/>
    <x v="0"/>
    <n v="45140"/>
  </r>
  <r>
    <x v="2"/>
    <d v="2022-03-06T00:00:00"/>
    <s v="DP3O547"/>
    <s v="ADENIYI WEAVER"/>
    <s v="Adeniyi Weaver"/>
    <s v="Aweaver@ymail.com"/>
    <x v="0"/>
    <s v="PVC2023105"/>
    <s v="Gold"/>
    <x v="29"/>
    <x v="2"/>
    <x v="7"/>
    <x v="4"/>
    <n v="38246"/>
  </r>
  <r>
    <x v="2"/>
    <d v="2022-03-08T00:00:00"/>
    <s v="DP3D347"/>
    <s v="FORREST FELIX"/>
    <s v="Forrest Felix"/>
    <s v="Ffelix@coriftech.com"/>
    <x v="1"/>
    <s v="PVC2023145"/>
    <s v="Standard"/>
    <x v="34"/>
    <x v="1"/>
    <x v="5"/>
    <x v="0"/>
    <n v="52691"/>
  </r>
  <r>
    <x v="2"/>
    <d v="2022-03-08T00:00:00"/>
    <s v="DP2N195"/>
    <s v="MORGAN HERRIOT"/>
    <s v="Morgan Herriot"/>
    <s v="Mherriot@coriftech.com"/>
    <x v="1"/>
    <s v="PVC2023127"/>
    <s v="Premium"/>
    <x v="22"/>
    <x v="2"/>
    <x v="4"/>
    <x v="0"/>
    <n v="42414"/>
  </r>
  <r>
    <x v="2"/>
    <d v="2022-03-08T00:00:00"/>
    <s v="DP3F457"/>
    <s v="BRETT FERNANDEZ"/>
    <s v="Brett Fernandez"/>
    <s v="Bfernandez@gmail.com"/>
    <x v="0"/>
    <s v="PVC2023191"/>
    <s v="Premium"/>
    <x v="35"/>
    <x v="0"/>
    <x v="0"/>
    <x v="3"/>
    <n v="182198"/>
  </r>
  <r>
    <x v="2"/>
    <d v="2022-03-08T00:00:00"/>
    <s v="DP2B156"/>
    <s v="NOBLE HICKS"/>
    <s v="Noble Hicks"/>
    <s v="Nhicks@gmail.com"/>
    <x v="0"/>
    <s v="PVC2023112"/>
    <s v="Gold"/>
    <x v="19"/>
    <x v="1"/>
    <x v="8"/>
    <x v="3"/>
    <n v="40687"/>
  </r>
  <r>
    <x v="2"/>
    <d v="2022-03-09T00:00:00"/>
    <s v="DP2R226"/>
    <s v="OLUDAISI JOHNSON"/>
    <s v="Oludaisi Johnson"/>
    <s v="Ojohnson@coriftech.com"/>
    <x v="1"/>
    <s v="PVC2023122"/>
    <s v="Gold"/>
    <x v="32"/>
    <x v="0"/>
    <x v="4"/>
    <x v="4"/>
    <n v="149850"/>
  </r>
  <r>
    <x v="2"/>
    <d v="2022-03-09T00:00:00"/>
    <s v="DP3W312"/>
    <s v="ADENIYI TILLMAN"/>
    <s v="Adeniyi Tillman"/>
    <s v="Atillman@ymail.com"/>
    <x v="0"/>
    <s v="PVC2023119"/>
    <s v="Gold"/>
    <x v="27"/>
    <x v="1"/>
    <x v="2"/>
    <x v="1"/>
    <n v="185419"/>
  </r>
  <r>
    <x v="2"/>
    <d v="2022-03-11T00:00:00"/>
    <s v="DP2D266"/>
    <s v="ADENIYI TILLMAN"/>
    <s v="Adeniyi Tillman"/>
    <s v="Atillman@ymail.com"/>
    <x v="0"/>
    <s v="PVC2023119"/>
    <s v="Gold"/>
    <x v="27"/>
    <x v="1"/>
    <x v="1"/>
    <x v="2"/>
    <n v="123157"/>
  </r>
  <r>
    <x v="2"/>
    <d v="2022-03-11T00:00:00"/>
    <s v="DP3H405"/>
    <s v="AMERY JACOB"/>
    <s v="Amery Jacob"/>
    <s v="Ajacob@ymail.com"/>
    <x v="0"/>
    <s v="PVC2023142"/>
    <s v="Gold"/>
    <x v="36"/>
    <x v="2"/>
    <x v="8"/>
    <x v="3"/>
    <n v="9671"/>
  </r>
  <r>
    <x v="2"/>
    <d v="2022-03-12T00:00:00"/>
    <s v="DP3Y423"/>
    <s v="ODUMOSU DUKE"/>
    <s v="Odumosu Duke"/>
    <s v="Oduke@coriftech.com"/>
    <x v="0"/>
    <s v="PVC2023108"/>
    <s v="Standard"/>
    <x v="4"/>
    <x v="0"/>
    <x v="8"/>
    <x v="0"/>
    <n v="33554"/>
  </r>
  <r>
    <x v="2"/>
    <d v="2022-03-12T00:00:00"/>
    <s v="DP3L382"/>
    <s v="KEATON JIMENEZ"/>
    <s v="Keaton Jimenez"/>
    <s v="Kjimenez@ymail.com"/>
    <x v="1"/>
    <s v="PVC2023165"/>
    <s v="Standard"/>
    <x v="31"/>
    <x v="2"/>
    <x v="6"/>
    <x v="3"/>
    <n v="55836"/>
  </r>
  <r>
    <x v="2"/>
    <d v="2022-03-13T00:00:00"/>
    <s v="DP3S443"/>
    <s v="ADEBOLA SOLIS"/>
    <s v="Adebola Solis"/>
    <s v="Asolis@ymail.com"/>
    <x v="1"/>
    <s v="PVC2023124"/>
    <s v="Standard"/>
    <x v="26"/>
    <x v="2"/>
    <x v="5"/>
    <x v="1"/>
    <n v="86635"/>
  </r>
  <r>
    <x v="2"/>
    <d v="2022-03-13T00:00:00"/>
    <s v="DP3T471"/>
    <s v="MORGAN HERRIOT"/>
    <s v="Morgan Herriot"/>
    <s v="Mherriot@coriftech.com"/>
    <x v="1"/>
    <s v="PVC2023127"/>
    <s v="Premium"/>
    <x v="22"/>
    <x v="2"/>
    <x v="8"/>
    <x v="4"/>
    <n v="24704"/>
  </r>
  <r>
    <x v="2"/>
    <d v="2022-03-13T00:00:00"/>
    <s v="DP3I541"/>
    <s v="OKEDIRAN MITCHELL"/>
    <s v="Okediran Mitchell"/>
    <s v="Omitchell@ymail.com"/>
    <x v="1"/>
    <s v="PVC2023190"/>
    <s v="Premium"/>
    <x v="6"/>
    <x v="2"/>
    <x v="9"/>
    <x v="0"/>
    <n v="66902"/>
  </r>
  <r>
    <x v="2"/>
    <d v="2022-03-13T00:00:00"/>
    <s v="DP3Q387"/>
    <s v="ADELEKE FITZPATRICK"/>
    <s v="Adeleke Fitzpatrick"/>
    <s v="Afitzpatrick@gmail.com"/>
    <x v="0"/>
    <s v="PVC2023148"/>
    <s v="Standard"/>
    <x v="2"/>
    <x v="0"/>
    <x v="5"/>
    <x v="0"/>
    <n v="72293"/>
  </r>
  <r>
    <x v="2"/>
    <d v="2022-03-14T00:00:00"/>
    <s v="DP3R550"/>
    <s v="OLAYINKA CANINI"/>
    <s v="Olayinka Canini"/>
    <s v="Ocanini@coriftech.com"/>
    <x v="1"/>
    <s v="PVC2023106"/>
    <s v="Gold"/>
    <x v="32"/>
    <x v="0"/>
    <x v="8"/>
    <x v="3"/>
    <n v="34025"/>
  </r>
  <r>
    <x v="2"/>
    <d v="2022-03-15T00:00:00"/>
    <s v="DP2P305"/>
    <s v="ADENIYI TILLMAN"/>
    <s v="Adeniyi Tillman"/>
    <s v="Atillman@ymail.com"/>
    <x v="0"/>
    <s v="PVC2023119"/>
    <s v="Gold"/>
    <x v="27"/>
    <x v="1"/>
    <x v="4"/>
    <x v="1"/>
    <n v="31707"/>
  </r>
  <r>
    <x v="2"/>
    <d v="2022-03-15T00:00:00"/>
    <s v="DP3Z367"/>
    <s v="JOY GARZA"/>
    <s v="Joy Garza"/>
    <s v="Jgarza@ymail.com"/>
    <x v="0"/>
    <s v="PVC2023147"/>
    <s v="Premium"/>
    <x v="7"/>
    <x v="0"/>
    <x v="0"/>
    <x v="4"/>
    <n v="144574"/>
  </r>
  <r>
    <x v="2"/>
    <d v="2022-03-16T00:00:00"/>
    <s v="DP3H351"/>
    <s v="INGRID BURRIS"/>
    <s v="Ingrid Burris"/>
    <s v="Iburris@coriftech.com"/>
    <x v="1"/>
    <s v="PVC2023128"/>
    <s v="Gold"/>
    <x v="37"/>
    <x v="0"/>
    <x v="4"/>
    <x v="3"/>
    <n v="85467"/>
  </r>
  <r>
    <x v="2"/>
    <d v="2022-03-16T00:00:00"/>
    <s v="DP3R604"/>
    <s v="TAIBAT DENNIS"/>
    <s v="Taibat Dennis"/>
    <s v="Tdennis@gmail.com"/>
    <x v="0"/>
    <s v="PVC2023133"/>
    <s v="Premium"/>
    <x v="22"/>
    <x v="2"/>
    <x v="6"/>
    <x v="4"/>
    <n v="63755"/>
  </r>
  <r>
    <x v="2"/>
    <d v="2022-03-17T00:00:00"/>
    <s v="DP3R361"/>
    <s v="ADEBOLA EZICHI"/>
    <s v="Adebola Ezichi"/>
    <s v="Aezichi@gmail.com"/>
    <x v="1"/>
    <s v="PVC2023194"/>
    <s v="Standard"/>
    <x v="22"/>
    <x v="2"/>
    <x v="6"/>
    <x v="0"/>
    <n v="183919"/>
  </r>
  <r>
    <x v="2"/>
    <d v="2022-03-17T00:00:00"/>
    <s v="DP3A317"/>
    <s v="ODUMOSU MCCLURE"/>
    <s v="Odumosu Mcclure"/>
    <s v="Omcclure@gmail.com"/>
    <x v="0"/>
    <s v="PVC2023154"/>
    <s v="Standard"/>
    <x v="7"/>
    <x v="0"/>
    <x v="8"/>
    <x v="3"/>
    <n v="157181"/>
  </r>
  <r>
    <x v="2"/>
    <d v="2022-03-17T00:00:00"/>
    <s v="DP2M248"/>
    <s v="CELESTE MILLER"/>
    <s v="Celeste Miller"/>
    <s v="Cmiller@gmail.com"/>
    <x v="1"/>
    <s v="PVC2023138"/>
    <s v="Premium"/>
    <x v="20"/>
    <x v="1"/>
    <x v="8"/>
    <x v="1"/>
    <n v="139684"/>
  </r>
  <r>
    <x v="2"/>
    <d v="2022-03-18T00:00:00"/>
    <s v="DP2U256"/>
    <s v="EHINDERO MATT"/>
    <s v="Ehindero Matt"/>
    <s v="Ematt@gmail.com"/>
    <x v="0"/>
    <s v="PVC2023104"/>
    <s v="Standard"/>
    <x v="10"/>
    <x v="3"/>
    <x v="8"/>
    <x v="0"/>
    <n v="180766"/>
  </r>
  <r>
    <x v="2"/>
    <d v="2022-03-19T00:00:00"/>
    <s v="DP3D428"/>
    <s v="AKANTEYON KNOWLES"/>
    <s v="Akanteyon Knowles"/>
    <s v="Aknowles@gmail.com"/>
    <x v="0"/>
    <s v="PVC2023184"/>
    <s v="Gold"/>
    <x v="26"/>
    <x v="2"/>
    <x v="4"/>
    <x v="1"/>
    <n v="35531"/>
  </r>
  <r>
    <x v="2"/>
    <d v="2022-03-19T00:00:00"/>
    <s v="DP3X422"/>
    <s v="JERRY ELLIS"/>
    <s v="Jerry Ellis"/>
    <s v="Jellis@gmail.com"/>
    <x v="0"/>
    <s v="PVC2023197"/>
    <s v="Premium"/>
    <x v="26"/>
    <x v="2"/>
    <x v="3"/>
    <x v="2"/>
    <n v="155800"/>
  </r>
  <r>
    <x v="2"/>
    <d v="2022-03-19T00:00:00"/>
    <s v="DP3D482"/>
    <s v="PETRA PANOVSKY"/>
    <s v="Petra Panovsky"/>
    <s v="Ppanovsky@coriftech.com"/>
    <x v="1"/>
    <s v="PVC2023146"/>
    <s v="Standard"/>
    <x v="2"/>
    <x v="0"/>
    <x v="2"/>
    <x v="3"/>
    <n v="103542"/>
  </r>
  <r>
    <x v="2"/>
    <d v="2022-03-21T00:00:00"/>
    <s v="DP3Z559"/>
    <s v="MORGAN HERRIOT"/>
    <s v="Morgan Herriot"/>
    <s v="Mherriot@coriftech.com"/>
    <x v="1"/>
    <s v="PVC2023127"/>
    <s v="Premium"/>
    <x v="22"/>
    <x v="2"/>
    <x v="0"/>
    <x v="1"/>
    <n v="13536"/>
  </r>
  <r>
    <x v="2"/>
    <d v="2022-03-21T00:00:00"/>
    <s v="DP2Y261"/>
    <s v="RHONA MITCHELL"/>
    <s v="Rhona Mitchell"/>
    <s v="Rmitchell@gmail.com"/>
    <x v="1"/>
    <s v="PVC2023141"/>
    <s v="Premium"/>
    <x v="1"/>
    <x v="1"/>
    <x v="3"/>
    <x v="4"/>
    <n v="159903"/>
  </r>
  <r>
    <x v="2"/>
    <d v="2022-03-21T00:00:00"/>
    <s v="DP2E213"/>
    <s v="JERRY ELLIS"/>
    <s v="Jerry Ellis"/>
    <s v="Jellis@gmail.com"/>
    <x v="0"/>
    <s v="PVC2023197"/>
    <s v="Premium"/>
    <x v="26"/>
    <x v="2"/>
    <x v="9"/>
    <x v="1"/>
    <n v="140178"/>
  </r>
  <r>
    <x v="2"/>
    <d v="2022-03-23T00:00:00"/>
    <s v="DP2T255"/>
    <s v="FASINU ADAMS"/>
    <s v="Fasinu Adams"/>
    <s v="Fadams@ymail.com"/>
    <x v="0"/>
    <s v="PVC2023172"/>
    <s v="Standard"/>
    <x v="37"/>
    <x v="0"/>
    <x v="6"/>
    <x v="3"/>
    <n v="36354"/>
  </r>
  <r>
    <x v="2"/>
    <d v="2022-03-23T00:00:00"/>
    <s v="DP2M302"/>
    <s v="ADELEKE FITZPATRICK"/>
    <s v="Adeleke Fitzpatrick"/>
    <s v="Afitzpatrick@gmail.com"/>
    <x v="0"/>
    <s v="PVC2023148"/>
    <s v="Standard"/>
    <x v="2"/>
    <x v="0"/>
    <x v="1"/>
    <x v="0"/>
    <n v="90011"/>
  </r>
  <r>
    <x v="2"/>
    <d v="2022-03-24T00:00:00"/>
    <s v="DP3R577"/>
    <s v="JELANI MCKINNEY"/>
    <s v="Jelani Mckinney"/>
    <s v="Jmckinney@coriftech.com"/>
    <x v="1"/>
    <s v="PVC2023107"/>
    <s v="Gold"/>
    <x v="13"/>
    <x v="2"/>
    <x v="5"/>
    <x v="2"/>
    <n v="113224"/>
  </r>
  <r>
    <x v="2"/>
    <d v="2022-03-24T00:00:00"/>
    <s v="DP2I217"/>
    <s v="OLUDAISI JOHNSON"/>
    <s v="Oludaisi Johnson"/>
    <s v="Ojohnson@coriftech.com"/>
    <x v="1"/>
    <s v="PVC2023122"/>
    <s v="Gold"/>
    <x v="32"/>
    <x v="0"/>
    <x v="7"/>
    <x v="0"/>
    <n v="164095"/>
  </r>
  <r>
    <x v="2"/>
    <d v="2022-03-24T00:00:00"/>
    <s v="DP2E159"/>
    <s v="NOBLE HICKS"/>
    <s v="Noble Hicks"/>
    <s v="Nhicks@gmail.com"/>
    <x v="0"/>
    <s v="PVC2023112"/>
    <s v="Gold"/>
    <x v="19"/>
    <x v="1"/>
    <x v="2"/>
    <x v="4"/>
    <n v="14739"/>
  </r>
  <r>
    <x v="2"/>
    <d v="2022-03-25T00:00:00"/>
    <s v="DP2Z178"/>
    <s v="TAIBAT DENNIS"/>
    <s v="Taibat Dennis"/>
    <s v="Tdennis@gmail.com"/>
    <x v="0"/>
    <s v="PVC2023133"/>
    <s v="Premium"/>
    <x v="22"/>
    <x v="2"/>
    <x v="0"/>
    <x v="1"/>
    <n v="137611"/>
  </r>
  <r>
    <x v="2"/>
    <d v="2022-03-25T00:00:00"/>
    <s v="DP3G350"/>
    <s v="ODUMOSU DUKE"/>
    <s v="Odumosu Duke"/>
    <s v="Oduke@coriftech.com"/>
    <x v="0"/>
    <s v="PVC2023108"/>
    <s v="Standard"/>
    <x v="4"/>
    <x v="0"/>
    <x v="4"/>
    <x v="3"/>
    <n v="76925"/>
  </r>
  <r>
    <x v="2"/>
    <d v="2022-03-26T00:00:00"/>
    <s v="DP3V419"/>
    <s v="PETRA PANOVSKY"/>
    <s v="Petra Panovsky"/>
    <s v="Ppanovsky@coriftech.com"/>
    <x v="1"/>
    <s v="PVC2023146"/>
    <s v="Standard"/>
    <x v="2"/>
    <x v="0"/>
    <x v="4"/>
    <x v="1"/>
    <n v="35323"/>
  </r>
  <r>
    <x v="2"/>
    <d v="2022-03-26T00:00:00"/>
    <s v="DP2Y180"/>
    <s v="BRYNNE NANKAM"/>
    <s v="Brynne Nankam"/>
    <s v="Bnankam@coriftech.com"/>
    <x v="0"/>
    <s v="PVC2023143"/>
    <s v="Gold"/>
    <x v="15"/>
    <x v="1"/>
    <x v="9"/>
    <x v="0"/>
    <n v="128691"/>
  </r>
  <r>
    <x v="2"/>
    <d v="2022-03-27T00:00:00"/>
    <s v="DP2J218"/>
    <s v="FLETCHER MERRITT"/>
    <s v="Fletcher Merritt"/>
    <s v="Fmerritt@gmail.com"/>
    <x v="1"/>
    <s v="PVC2023193"/>
    <s v="Standard"/>
    <x v="20"/>
    <x v="1"/>
    <x v="4"/>
    <x v="3"/>
    <n v="108529"/>
  </r>
  <r>
    <x v="2"/>
    <d v="2022-03-28T00:00:00"/>
    <s v="DP3L409"/>
    <s v="NOEL MACK"/>
    <s v="Noel Mack"/>
    <s v="Nmack@gmail.com"/>
    <x v="0"/>
    <s v="PVC2023139"/>
    <s v="Gold"/>
    <x v="15"/>
    <x v="1"/>
    <x v="3"/>
    <x v="0"/>
    <n v="121132"/>
  </r>
  <r>
    <x v="2"/>
    <d v="2022-03-28T00:00:00"/>
    <s v="DP3Y531"/>
    <s v="OLAYINKA CANINI"/>
    <s v="Olayinka Canini"/>
    <s v="Ocanini@coriftech.com"/>
    <x v="1"/>
    <s v="PVC2023106"/>
    <s v="Gold"/>
    <x v="32"/>
    <x v="0"/>
    <x v="7"/>
    <x v="3"/>
    <n v="19802"/>
  </r>
  <r>
    <x v="2"/>
    <d v="2022-03-31T00:00:00"/>
    <s v="DP2G269"/>
    <s v="ADEBOLA EZICHI"/>
    <s v="Adebola Ezichi"/>
    <s v="Aezichi@gmail.com"/>
    <x v="1"/>
    <s v="PVC2023194"/>
    <s v="Standard"/>
    <x v="22"/>
    <x v="2"/>
    <x v="5"/>
    <x v="3"/>
    <n v="137367"/>
  </r>
  <r>
    <x v="2"/>
    <d v="2022-03-31T00:00:00"/>
    <s v="DP3U391"/>
    <s v="EMERSON PANOVSKY"/>
    <s v="Emerson Panovsky"/>
    <s v="Epanovsky@gmail.com"/>
    <x v="1"/>
    <s v="PVC2023198"/>
    <s v="Gold"/>
    <x v="10"/>
    <x v="3"/>
    <x v="9"/>
    <x v="3"/>
    <n v="68623"/>
  </r>
  <r>
    <x v="3"/>
    <d v="2022-04-01T00:00:00"/>
    <s v="DP2C265"/>
    <s v="THOMAS BYRD"/>
    <s v="Thomas Byrd"/>
    <s v="Tbyrd@coriftech.com"/>
    <x v="0"/>
    <s v="PVC2023157"/>
    <s v="Gold"/>
    <x v="38"/>
    <x v="2"/>
    <x v="2"/>
    <x v="0"/>
    <n v="114250"/>
  </r>
  <r>
    <x v="3"/>
    <d v="2022-04-02T00:00:00"/>
    <s v="DP2B237"/>
    <s v="ATHENA MACDONALD"/>
    <s v="Athena Macdonald"/>
    <s v="Amacdonald@gmail.com"/>
    <x v="0"/>
    <s v="PVC2023150"/>
    <s v="Gold"/>
    <x v="26"/>
    <x v="2"/>
    <x v="4"/>
    <x v="4"/>
    <n v="138550"/>
  </r>
  <r>
    <x v="3"/>
    <d v="2022-04-03T00:00:00"/>
    <s v="DP2B102"/>
    <s v="EMERSON PANOVSKY"/>
    <s v="Emerson Panovsky"/>
    <s v="Epanovsky@gmail.com"/>
    <x v="1"/>
    <s v="PVC2023198"/>
    <s v="Gold"/>
    <x v="10"/>
    <x v="3"/>
    <x v="3"/>
    <x v="3"/>
    <n v="41060"/>
  </r>
  <r>
    <x v="3"/>
    <d v="2022-04-03T00:00:00"/>
    <s v="DP3C589"/>
    <s v="ADENIYI TILLMAN"/>
    <s v="Adeniyi Tillman"/>
    <s v="Atillman@ymail.com"/>
    <x v="0"/>
    <s v="PVC2023119"/>
    <s v="Gold"/>
    <x v="27"/>
    <x v="1"/>
    <x v="2"/>
    <x v="2"/>
    <n v="36499"/>
  </r>
  <r>
    <x v="3"/>
    <d v="2022-04-04T00:00:00"/>
    <s v="DP2Q306"/>
    <s v="ELEANOR DUANE"/>
    <s v="Eleanor Duane"/>
    <s v="Eduane@gmail.com"/>
    <x v="0"/>
    <s v="PVC2023195"/>
    <s v="Standard"/>
    <x v="31"/>
    <x v="2"/>
    <x v="4"/>
    <x v="1"/>
    <n v="181930"/>
  </r>
  <r>
    <x v="3"/>
    <d v="2022-04-05T00:00:00"/>
    <s v="DP3Q576"/>
    <s v="ADEBOLA SOLIS"/>
    <s v="Adebola Solis"/>
    <s v="Asolis@ymail.com"/>
    <x v="1"/>
    <s v="PVC2023124"/>
    <s v="Standard"/>
    <x v="26"/>
    <x v="2"/>
    <x v="7"/>
    <x v="1"/>
    <n v="100451"/>
  </r>
  <r>
    <x v="3"/>
    <d v="2022-04-06T00:00:00"/>
    <s v="DP3O601"/>
    <s v="AYO EZICHI"/>
    <s v="Ayo Ezichi"/>
    <s v="Aezichi@coriftech.com"/>
    <x v="0"/>
    <s v="PVC2023131"/>
    <s v="Standard"/>
    <x v="28"/>
    <x v="2"/>
    <x v="0"/>
    <x v="0"/>
    <n v="153888"/>
  </r>
  <r>
    <x v="3"/>
    <d v="2022-04-07T00:00:00"/>
    <s v="DP3O493"/>
    <s v="ODUMOSU MCCLURE"/>
    <s v="Odumosu Mcclure"/>
    <s v="Omcclure@gmail.com"/>
    <x v="0"/>
    <s v="PVC2023154"/>
    <s v="Standard"/>
    <x v="7"/>
    <x v="0"/>
    <x v="1"/>
    <x v="3"/>
    <n v="138007"/>
  </r>
  <r>
    <x v="3"/>
    <d v="2022-04-08T00:00:00"/>
    <s v="DP2R145"/>
    <s v="SAHEED WARNER"/>
    <s v="Saheed Warner"/>
    <s v="Swarner@gmail.com"/>
    <x v="1"/>
    <s v="PVC2023151"/>
    <s v="Gold"/>
    <x v="1"/>
    <x v="1"/>
    <x v="2"/>
    <x v="3"/>
    <n v="46472"/>
  </r>
  <r>
    <x v="3"/>
    <d v="2022-04-08T00:00:00"/>
    <s v="DP2Z232"/>
    <s v="OLAOGUN KIDD"/>
    <s v="Olaogun Kidd"/>
    <s v="Okidd@gmail.com"/>
    <x v="0"/>
    <s v="PVC2023134"/>
    <s v="Premium"/>
    <x v="21"/>
    <x v="1"/>
    <x v="4"/>
    <x v="3"/>
    <n v="98239"/>
  </r>
  <r>
    <x v="3"/>
    <d v="2022-04-09T00:00:00"/>
    <s v="DP3Z532"/>
    <s v="SAHEED WARNER"/>
    <s v="Saheed Warner"/>
    <s v="Swarner@gmail.com"/>
    <x v="1"/>
    <s v="PVC2023151"/>
    <s v="Gold"/>
    <x v="1"/>
    <x v="1"/>
    <x v="6"/>
    <x v="2"/>
    <n v="28301"/>
  </r>
  <r>
    <x v="3"/>
    <d v="2022-04-10T00:00:00"/>
    <s v="DP3S578"/>
    <s v="JARED DENNIS"/>
    <s v="Jared Dennis"/>
    <s v="Jdennis@ymail.com"/>
    <x v="0"/>
    <s v="PVC2023162"/>
    <s v="Premium"/>
    <x v="19"/>
    <x v="1"/>
    <x v="4"/>
    <x v="3"/>
    <n v="46138"/>
  </r>
  <r>
    <x v="3"/>
    <d v="2022-04-12T00:00:00"/>
    <s v="DP3N546"/>
    <s v="LESLY PORTER"/>
    <s v="Lesly Porter"/>
    <s v="Lporter@gmail.com"/>
    <x v="1"/>
    <s v="PVC2023137"/>
    <s v="Gold"/>
    <x v="21"/>
    <x v="1"/>
    <x v="2"/>
    <x v="1"/>
    <n v="15860"/>
  </r>
  <r>
    <x v="3"/>
    <d v="2022-04-14T00:00:00"/>
    <s v="DP3E483"/>
    <s v="ODUMOSU DUKE"/>
    <s v="Odumosu Duke"/>
    <s v="Oduke@coriftech.com"/>
    <x v="0"/>
    <s v="PVC2023108"/>
    <s v="Standard"/>
    <x v="4"/>
    <x v="0"/>
    <x v="4"/>
    <x v="3"/>
    <n v="50091"/>
  </r>
  <r>
    <x v="3"/>
    <d v="2022-04-15T00:00:00"/>
    <s v="DP2N168"/>
    <s v="ISADORA JONES"/>
    <s v="Isadora Jones"/>
    <s v="Ijones@ymail.com"/>
    <x v="0"/>
    <s v="PVC2023171"/>
    <s v="Premium"/>
    <x v="39"/>
    <x v="2"/>
    <x v="3"/>
    <x v="1"/>
    <n v="43684"/>
  </r>
  <r>
    <x v="3"/>
    <d v="2022-04-16T00:00:00"/>
    <s v="DP3T444"/>
    <s v="ADENIYI MCCONNELL"/>
    <s v="Adeniyi Mcconnell"/>
    <s v="Amcconnell@coriftech.com"/>
    <x v="1"/>
    <s v="PVC2023168"/>
    <s v="Standard"/>
    <x v="38"/>
    <x v="2"/>
    <x v="3"/>
    <x v="1"/>
    <n v="85219"/>
  </r>
  <r>
    <x v="3"/>
    <d v="2022-04-16T00:00:00"/>
    <s v="DP3I595"/>
    <s v="ODUMOSU DUKE"/>
    <s v="Odumosu Duke"/>
    <s v="Oduke@coriftech.com"/>
    <x v="0"/>
    <s v="PVC2023108"/>
    <s v="Standard"/>
    <x v="4"/>
    <x v="0"/>
    <x v="8"/>
    <x v="0"/>
    <n v="164307"/>
  </r>
  <r>
    <x v="3"/>
    <d v="2022-04-17T00:00:00"/>
    <s v="DP3N438"/>
    <s v="BRITTANY BEST"/>
    <s v="Brittany Best"/>
    <s v="Bbest@gmail.com"/>
    <x v="1"/>
    <s v="PVC2023125"/>
    <s v="Premium"/>
    <x v="6"/>
    <x v="2"/>
    <x v="7"/>
    <x v="3"/>
    <n v="16744"/>
  </r>
  <r>
    <x v="3"/>
    <d v="2022-04-18T00:00:00"/>
    <s v="DP2J245"/>
    <s v="EMERSON PANOVSKY"/>
    <s v="Emerson Panovsky"/>
    <s v="Epanovsky@gmail.com"/>
    <x v="1"/>
    <s v="PVC2023198"/>
    <s v="Gold"/>
    <x v="10"/>
    <x v="3"/>
    <x v="6"/>
    <x v="3"/>
    <n v="165153"/>
  </r>
  <r>
    <x v="3"/>
    <d v="2022-04-20T00:00:00"/>
    <s v="DP2H216"/>
    <s v="CYRUS SMITH"/>
    <s v="Cyrus Smith"/>
    <s v="Csmith@ymail.com"/>
    <x v="0"/>
    <s v="PVC2023183"/>
    <s v="Standard"/>
    <x v="1"/>
    <x v="1"/>
    <x v="9"/>
    <x v="3"/>
    <n v="93114"/>
  </r>
  <r>
    <x v="3"/>
    <d v="2022-04-20T00:00:00"/>
    <s v="DP2L274"/>
    <s v="AGEMO BARNES"/>
    <s v="Agemo Barnes"/>
    <s v="Abarnes@gmail.com"/>
    <x v="1"/>
    <s v="PVC2023136"/>
    <s v="Premium"/>
    <x v="17"/>
    <x v="0"/>
    <x v="4"/>
    <x v="0"/>
    <n v="54960"/>
  </r>
  <r>
    <x v="3"/>
    <d v="2022-04-20T00:00:00"/>
    <s v="DP3W393"/>
    <s v="OLAOGUN KIDD"/>
    <s v="Olaogun Kidd"/>
    <s v="Okidd@gmail.com"/>
    <x v="0"/>
    <s v="PVC2023134"/>
    <s v="Premium"/>
    <x v="21"/>
    <x v="1"/>
    <x v="7"/>
    <x v="4"/>
    <n v="121963"/>
  </r>
  <r>
    <x v="3"/>
    <d v="2022-04-21T00:00:00"/>
    <s v="DP3U553"/>
    <s v="ADENIYI WEAVER"/>
    <s v="Adeniyi Weaver"/>
    <s v="Aweaver@ymail.com"/>
    <x v="0"/>
    <s v="PVC2023105"/>
    <s v="Gold"/>
    <x v="29"/>
    <x v="2"/>
    <x v="0"/>
    <x v="1"/>
    <n v="32890"/>
  </r>
  <r>
    <x v="3"/>
    <d v="2022-04-21T00:00:00"/>
    <s v="DP2B210"/>
    <s v="ADEBOLA SOLIS"/>
    <s v="Adebola Solis"/>
    <s v="Asolis@ymail.com"/>
    <x v="1"/>
    <s v="PVC2023124"/>
    <s v="Standard"/>
    <x v="26"/>
    <x v="2"/>
    <x v="7"/>
    <x v="3"/>
    <n v="129591"/>
  </r>
  <r>
    <x v="3"/>
    <d v="2022-04-23T00:00:00"/>
    <s v="DP2O169"/>
    <s v="ADENIYI WEAVER"/>
    <s v="Adeniyi Weaver"/>
    <s v="Aweaver@ymail.com"/>
    <x v="0"/>
    <s v="PVC2023105"/>
    <s v="Gold"/>
    <x v="29"/>
    <x v="2"/>
    <x v="3"/>
    <x v="3"/>
    <n v="63818"/>
  </r>
  <r>
    <x v="3"/>
    <d v="2022-04-24T00:00:00"/>
    <s v="DP2W177"/>
    <s v="BAMIDELE ALEXANDER"/>
    <s v="Bamidele Alexander"/>
    <s v="Balexander@ymail.com"/>
    <x v="0"/>
    <s v="PVC2023113"/>
    <s v="Premium"/>
    <x v="3"/>
    <x v="1"/>
    <x v="4"/>
    <x v="4"/>
    <n v="58922"/>
  </r>
  <r>
    <x v="3"/>
    <d v="2022-04-26T00:00:00"/>
    <s v="DP2E240"/>
    <s v="ADENIYI WEAVER"/>
    <s v="Adeniyi Weaver"/>
    <s v="Aweaver@ymail.com"/>
    <x v="0"/>
    <s v="PVC2023105"/>
    <s v="Gold"/>
    <x v="29"/>
    <x v="2"/>
    <x v="7"/>
    <x v="0"/>
    <n v="140795"/>
  </r>
  <r>
    <x v="3"/>
    <d v="2022-04-26T00:00:00"/>
    <s v="DP2R199"/>
    <s v="OLUDAISI JOHNSON"/>
    <s v="Oludaisi Johnson"/>
    <s v="Ojohnson@coriftech.com"/>
    <x v="1"/>
    <s v="PVC2023122"/>
    <s v="Gold"/>
    <x v="32"/>
    <x v="0"/>
    <x v="7"/>
    <x v="2"/>
    <n v="41363"/>
  </r>
  <r>
    <x v="3"/>
    <d v="2022-04-27T00:00:00"/>
    <s v="DP3B507"/>
    <s v="JOY GARZA"/>
    <s v="Joy Garza"/>
    <s v="Jgarza@ymail.com"/>
    <x v="0"/>
    <s v="PVC2023147"/>
    <s v="Premium"/>
    <x v="7"/>
    <x v="0"/>
    <x v="8"/>
    <x v="2"/>
    <n v="62060"/>
  </r>
  <r>
    <x v="3"/>
    <d v="2022-04-28T00:00:00"/>
    <s v="DP3L436"/>
    <s v="AMERY JACOB"/>
    <s v="Amery Jacob"/>
    <s v="Ajacob@ymail.com"/>
    <x v="0"/>
    <s v="PVC2023142"/>
    <s v="Gold"/>
    <x v="36"/>
    <x v="2"/>
    <x v="2"/>
    <x v="0"/>
    <n v="142091"/>
  </r>
  <r>
    <x v="3"/>
    <d v="2022-04-28T00:00:00"/>
    <s v="DP3O466"/>
    <s v="LESLY PORTER"/>
    <s v="Lesly Porter"/>
    <s v="Lporter@gmail.com"/>
    <x v="1"/>
    <s v="PVC2023137"/>
    <s v="Gold"/>
    <x v="21"/>
    <x v="1"/>
    <x v="0"/>
    <x v="3"/>
    <n v="32491"/>
  </r>
  <r>
    <x v="3"/>
    <d v="2022-04-29T00:00:00"/>
    <s v="DP3Q333"/>
    <s v="EMERSON PANOVSKY"/>
    <s v="Emerson Panovsky"/>
    <s v="Epanovsky@gmail.com"/>
    <x v="1"/>
    <s v="PVC2023198"/>
    <s v="Gold"/>
    <x v="10"/>
    <x v="3"/>
    <x v="4"/>
    <x v="0"/>
    <n v="15334"/>
  </r>
  <r>
    <x v="3"/>
    <d v="2022-04-30T00:00:00"/>
    <s v="DP2U148"/>
    <s v="ATHENA MACDONALD"/>
    <s v="Athena Macdonald"/>
    <s v="Amacdonald@gmail.com"/>
    <x v="0"/>
    <s v="PVC2023150"/>
    <s v="Gold"/>
    <x v="26"/>
    <x v="2"/>
    <x v="7"/>
    <x v="1"/>
    <n v="107466"/>
  </r>
  <r>
    <x v="3"/>
    <d v="2022-04-30T00:00:00"/>
    <s v="DP2M167"/>
    <s v="BRETT FERNANDEZ"/>
    <s v="Brett Fernandez"/>
    <s v="Bfernandez@gmail.com"/>
    <x v="0"/>
    <s v="PVC2023191"/>
    <s v="Premium"/>
    <x v="35"/>
    <x v="0"/>
    <x v="7"/>
    <x v="3"/>
    <n v="180179"/>
  </r>
  <r>
    <x v="4"/>
    <d v="2022-05-01T00:00:00"/>
    <s v="DP3L598"/>
    <s v="ADENIYI CHANG"/>
    <s v="Adeniyi Chang"/>
    <s v="Achang@gmail.com"/>
    <x v="1"/>
    <s v="PVC2023110"/>
    <s v="Premium"/>
    <x v="19"/>
    <x v="1"/>
    <x v="5"/>
    <x v="2"/>
    <n v="137933"/>
  </r>
  <r>
    <x v="4"/>
    <d v="2022-05-01T00:00:00"/>
    <s v="DP2Z289"/>
    <s v="PAUL FERRIS"/>
    <s v="Paul Ferris"/>
    <s v="Pferris@gmail.com"/>
    <x v="1"/>
    <s v="PVC2023181"/>
    <s v="Premium"/>
    <x v="4"/>
    <x v="0"/>
    <x v="7"/>
    <x v="1"/>
    <n v="153282"/>
  </r>
  <r>
    <x v="4"/>
    <d v="2022-05-01T00:00:00"/>
    <s v="DP3Q414"/>
    <s v="FORREST FELIX"/>
    <s v="Forrest Felix"/>
    <s v="Ffelix@coriftech.com"/>
    <x v="1"/>
    <s v="PVC2023145"/>
    <s v="Standard"/>
    <x v="34"/>
    <x v="1"/>
    <x v="7"/>
    <x v="4"/>
    <n v="96797"/>
  </r>
  <r>
    <x v="4"/>
    <d v="2022-05-01T00:00:00"/>
    <s v="DP2T120"/>
    <s v="ADEBOLA SOLIS"/>
    <s v="Adebola Solis"/>
    <s v="Asolis@ymail.com"/>
    <x v="1"/>
    <s v="PVC2023124"/>
    <s v="Standard"/>
    <x v="26"/>
    <x v="2"/>
    <x v="1"/>
    <x v="3"/>
    <n v="187378"/>
  </r>
  <r>
    <x v="4"/>
    <d v="2022-05-01T00:00:00"/>
    <s v="DP2S227"/>
    <s v="BRYNNE NANKAM"/>
    <s v="Brynne Nankam"/>
    <s v="Bnankam@coriftech.com"/>
    <x v="0"/>
    <s v="PVC2023143"/>
    <s v="Gold"/>
    <x v="15"/>
    <x v="1"/>
    <x v="1"/>
    <x v="4"/>
    <n v="173520"/>
  </r>
  <r>
    <x v="4"/>
    <d v="2022-05-01T00:00:00"/>
    <s v="DP3F565"/>
    <s v="LESLY PORTER"/>
    <s v="Lesly Porter"/>
    <s v="Lporter@gmail.com"/>
    <x v="1"/>
    <s v="PVC2023137"/>
    <s v="Gold"/>
    <x v="21"/>
    <x v="1"/>
    <x v="6"/>
    <x v="0"/>
    <n v="34281"/>
  </r>
  <r>
    <x v="4"/>
    <d v="2022-05-04T00:00:00"/>
    <s v="DP3G323"/>
    <s v="HIROKO PANOVSKY"/>
    <s v="Hiroko Panovsky"/>
    <s v="Hpanovsky@ymail.com"/>
    <x v="0"/>
    <s v="PVC2023182"/>
    <s v="Standard"/>
    <x v="2"/>
    <x v="0"/>
    <x v="2"/>
    <x v="1"/>
    <n v="174108"/>
  </r>
  <r>
    <x v="4"/>
    <d v="2022-05-05T00:00:00"/>
    <s v="DP2M140"/>
    <s v="IVORY SELHORST"/>
    <s v="Ivory Selhorst"/>
    <s v="Iselhorst@coriftech.com"/>
    <x v="1"/>
    <s v="PVC2023144"/>
    <s v="Premium"/>
    <x v="9"/>
    <x v="0"/>
    <x v="7"/>
    <x v="0"/>
    <n v="52256"/>
  </r>
  <r>
    <x v="4"/>
    <d v="2022-05-05T00:00:00"/>
    <s v="DP2F133"/>
    <s v="KEHINDE BUSH"/>
    <s v="Kehinde Bush"/>
    <s v="Kbush@coriftech.com"/>
    <x v="1"/>
    <s v="PVC2023180"/>
    <s v="Standard"/>
    <x v="4"/>
    <x v="0"/>
    <x v="3"/>
    <x v="2"/>
    <n v="109388"/>
  </r>
  <r>
    <x v="4"/>
    <d v="2022-05-07T00:00:00"/>
    <s v="DP3C508"/>
    <s v="LAEL CARTER"/>
    <s v="Lael Carter"/>
    <s v="Lcarter@coriftech.com"/>
    <x v="1"/>
    <s v="PVC2023101"/>
    <s v="Standard"/>
    <x v="25"/>
    <x v="2"/>
    <x v="9"/>
    <x v="2"/>
    <n v="36769"/>
  </r>
  <r>
    <x v="4"/>
    <d v="2022-05-07T00:00:00"/>
    <s v="DP2L301"/>
    <s v="BENEDICT MILLER"/>
    <s v="Benedict Miller"/>
    <s v="Bmiller@gmail.com"/>
    <x v="0"/>
    <s v="PVC2023118"/>
    <s v="Premium"/>
    <x v="12"/>
    <x v="2"/>
    <x v="7"/>
    <x v="4"/>
    <n v="7298"/>
  </r>
  <r>
    <x v="4"/>
    <d v="2022-05-08T00:00:00"/>
    <s v="DP3H459"/>
    <s v="ADEBOLA SOLIS"/>
    <s v="Adebola Solis"/>
    <s v="Asolis@ymail.com"/>
    <x v="1"/>
    <s v="PVC2023124"/>
    <s v="Standard"/>
    <x v="26"/>
    <x v="2"/>
    <x v="0"/>
    <x v="1"/>
    <n v="43605"/>
  </r>
  <r>
    <x v="4"/>
    <d v="2022-05-08T00:00:00"/>
    <s v="DP3R442"/>
    <s v="CYRUS SMITH"/>
    <s v="Cyrus Smith"/>
    <s v="Csmith@ymail.com"/>
    <x v="0"/>
    <s v="PVC2023183"/>
    <s v="Standard"/>
    <x v="1"/>
    <x v="1"/>
    <x v="6"/>
    <x v="2"/>
    <n v="27986"/>
  </r>
  <r>
    <x v="4"/>
    <d v="2022-05-09T00:00:00"/>
    <s v="DP2C292"/>
    <s v="BELL JUAREZ"/>
    <s v="Bell Juarez"/>
    <s v="Bjuarez@coriftech.com"/>
    <x v="0"/>
    <s v="PVC2023173"/>
    <s v="Gold"/>
    <x v="8"/>
    <x v="1"/>
    <x v="1"/>
    <x v="1"/>
    <n v="85755"/>
  </r>
  <r>
    <x v="4"/>
    <d v="2022-05-09T00:00:00"/>
    <s v="DP3Q468"/>
    <s v="HIROKO PANOVSKY"/>
    <s v="Hiroko Panovsky"/>
    <s v="Hpanovsky@ymail.com"/>
    <x v="0"/>
    <s v="PVC2023182"/>
    <s v="Standard"/>
    <x v="2"/>
    <x v="0"/>
    <x v="0"/>
    <x v="3"/>
    <n v="112323"/>
  </r>
  <r>
    <x v="4"/>
    <d v="2022-05-10T00:00:00"/>
    <s v="DP3L463"/>
    <s v="OLAYINKA CANINI"/>
    <s v="Olayinka Canini"/>
    <s v="Ocanini@coriftech.com"/>
    <x v="1"/>
    <s v="PVC2023106"/>
    <s v="Gold"/>
    <x v="32"/>
    <x v="0"/>
    <x v="2"/>
    <x v="0"/>
    <n v="100698"/>
  </r>
  <r>
    <x v="4"/>
    <d v="2022-05-10T00:00:00"/>
    <s v="DP3Z343"/>
    <s v="LIBERTY BARNETT"/>
    <s v="Liberty Barnett"/>
    <s v="Lbarnett@gmail.com"/>
    <x v="0"/>
    <s v="PVC2023103"/>
    <s v="Standard"/>
    <x v="29"/>
    <x v="2"/>
    <x v="0"/>
    <x v="0"/>
    <n v="52909"/>
  </r>
  <r>
    <x v="4"/>
    <d v="2022-05-10T00:00:00"/>
    <s v="DP2U283"/>
    <s v="HIROKO PANOVSKY"/>
    <s v="Hiroko Panovsky"/>
    <s v="Hpanovsky@ymail.com"/>
    <x v="0"/>
    <s v="PVC2023182"/>
    <s v="Standard"/>
    <x v="2"/>
    <x v="0"/>
    <x v="6"/>
    <x v="0"/>
    <n v="146076"/>
  </r>
  <r>
    <x v="4"/>
    <d v="2022-05-11T00:00:00"/>
    <s v="DP3D509"/>
    <s v="ADENIYI WEAVER"/>
    <s v="Adeniyi Weaver"/>
    <s v="Aweaver@ymail.com"/>
    <x v="0"/>
    <s v="PVC2023105"/>
    <s v="Gold"/>
    <x v="29"/>
    <x v="2"/>
    <x v="3"/>
    <x v="1"/>
    <n v="137283"/>
  </r>
  <r>
    <x v="4"/>
    <d v="2022-05-11T00:00:00"/>
    <s v="DP3G566"/>
    <s v="TAOHEED PERKINS"/>
    <s v="Taoheed Perkins"/>
    <s v="Tperkins@coriftech.com"/>
    <x v="1"/>
    <s v="PVC2023176"/>
    <s v="Standard"/>
    <x v="16"/>
    <x v="1"/>
    <x v="8"/>
    <x v="3"/>
    <n v="120178"/>
  </r>
  <r>
    <x v="4"/>
    <d v="2022-05-12T00:00:00"/>
    <s v="DP2G134"/>
    <s v="SAHEED THOMAS"/>
    <s v="Saheed Thomas"/>
    <s v="Sthomas@coriftech.com"/>
    <x v="0"/>
    <s v="PVC2023177"/>
    <s v="Standard"/>
    <x v="6"/>
    <x v="2"/>
    <x v="7"/>
    <x v="0"/>
    <n v="36312"/>
  </r>
  <r>
    <x v="4"/>
    <d v="2022-05-13T00:00:00"/>
    <s v="DP3F430"/>
    <s v="EHINDERO ADAMS"/>
    <s v="Ehindero Adams"/>
    <s v="Eadams@gmail.com"/>
    <x v="1"/>
    <s v="PVC2023161"/>
    <s v="Premium"/>
    <x v="40"/>
    <x v="1"/>
    <x v="1"/>
    <x v="3"/>
    <n v="21190"/>
  </r>
  <r>
    <x v="4"/>
    <d v="2022-05-13T00:00:00"/>
    <s v="DP2W258"/>
    <s v="PETER ADAMS"/>
    <s v="Peter Adams"/>
    <s v="Padams@coriftech.com"/>
    <x v="0"/>
    <s v="PVC2023126"/>
    <s v="Standard"/>
    <x v="15"/>
    <x v="1"/>
    <x v="3"/>
    <x v="3"/>
    <n v="128604"/>
  </r>
  <r>
    <x v="4"/>
    <d v="2022-05-14T00:00:00"/>
    <s v="DP2O277"/>
    <s v="AYO EZICHI"/>
    <s v="Ayo Ezichi"/>
    <s v="Aezichi@coriftech.com"/>
    <x v="0"/>
    <s v="PVC2023131"/>
    <s v="Standard"/>
    <x v="28"/>
    <x v="2"/>
    <x v="3"/>
    <x v="3"/>
    <n v="83753"/>
  </r>
  <r>
    <x v="4"/>
    <d v="2022-05-14T00:00:00"/>
    <s v="DP3A506"/>
    <s v="ARETHA PERKINS"/>
    <s v="Aretha Perkins"/>
    <s v="Aperkins@coriftech.com"/>
    <x v="1"/>
    <s v="PVC2023135"/>
    <s v="Standard"/>
    <x v="30"/>
    <x v="2"/>
    <x v="9"/>
    <x v="1"/>
    <n v="23489"/>
  </r>
  <r>
    <x v="4"/>
    <d v="2022-05-15T00:00:00"/>
    <s v="DP3X557"/>
    <s v="JERRY ELLIS"/>
    <s v="Jerry Ellis"/>
    <s v="Jellis@gmail.com"/>
    <x v="0"/>
    <s v="PVC2023197"/>
    <s v="Premium"/>
    <x v="26"/>
    <x v="2"/>
    <x v="3"/>
    <x v="4"/>
    <n v="54096"/>
  </r>
  <r>
    <x v="4"/>
    <d v="2022-05-17T00:00:00"/>
    <s v="DP3X395"/>
    <s v="KEHINDE BUSH"/>
    <s v="Kehinde Bush"/>
    <s v="Kbush@coriftech.com"/>
    <x v="1"/>
    <s v="PVC2023180"/>
    <s v="Standard"/>
    <x v="4"/>
    <x v="0"/>
    <x v="5"/>
    <x v="0"/>
    <n v="78288"/>
  </r>
  <r>
    <x v="4"/>
    <d v="2022-05-17T00:00:00"/>
    <s v="DP2I136"/>
    <s v="TAIBAT DENNIS"/>
    <s v="Taibat Dennis"/>
    <s v="Tdennis@gmail.com"/>
    <x v="0"/>
    <s v="PVC2023133"/>
    <s v="Premium"/>
    <x v="22"/>
    <x v="2"/>
    <x v="6"/>
    <x v="4"/>
    <n v="111982"/>
  </r>
  <r>
    <x v="4"/>
    <d v="2022-05-18T00:00:00"/>
    <s v="DP3P332"/>
    <s v="ADELEKE FITZPATRICK"/>
    <s v="Adeleke Fitzpatrick"/>
    <s v="Afitzpatrick@gmail.com"/>
    <x v="0"/>
    <s v="PVC2023148"/>
    <s v="Standard"/>
    <x v="2"/>
    <x v="0"/>
    <x v="2"/>
    <x v="1"/>
    <n v="14000"/>
  </r>
  <r>
    <x v="4"/>
    <d v="2022-05-18T00:00:00"/>
    <s v="DP2L166"/>
    <s v="LANI KEY"/>
    <s v="Lani Key"/>
    <s v="Lkey@coriftech.com"/>
    <x v="1"/>
    <s v="PVC2023130"/>
    <s v="Premium"/>
    <x v="13"/>
    <x v="2"/>
    <x v="6"/>
    <x v="2"/>
    <n v="22830"/>
  </r>
  <r>
    <x v="4"/>
    <d v="2022-05-19T00:00:00"/>
    <s v="DP3G458"/>
    <s v="NOBLE HICKS"/>
    <s v="Noble Hicks"/>
    <s v="Nhicks@gmail.com"/>
    <x v="0"/>
    <s v="PVC2023112"/>
    <s v="Gold"/>
    <x v="19"/>
    <x v="1"/>
    <x v="2"/>
    <x v="3"/>
    <n v="125448"/>
  </r>
  <r>
    <x v="4"/>
    <d v="2022-05-20T00:00:00"/>
    <s v="DP3F376"/>
    <s v="ODUMOSU DUKE"/>
    <s v="Odumosu Duke"/>
    <s v="Oduke@coriftech.com"/>
    <x v="0"/>
    <s v="PVC2023108"/>
    <s v="Standard"/>
    <x v="4"/>
    <x v="0"/>
    <x v="3"/>
    <x v="2"/>
    <n v="32478"/>
  </r>
  <r>
    <x v="4"/>
    <d v="2022-05-20T00:00:00"/>
    <s v="DP2X233"/>
    <s v="GEORGE CLUBBS"/>
    <s v="George Clubbs"/>
    <s v="Gclubbs@coriftech.com"/>
    <x v="1"/>
    <s v="PVC2023109"/>
    <s v="Premium"/>
    <x v="29"/>
    <x v="2"/>
    <x v="3"/>
    <x v="0"/>
    <n v="116999"/>
  </r>
  <r>
    <x v="4"/>
    <d v="2022-05-20T00:00:00"/>
    <s v="DP3J326"/>
    <s v="THOMAS BYRD"/>
    <s v="Thomas Byrd"/>
    <s v="Tbyrd@coriftech.com"/>
    <x v="0"/>
    <s v="PVC2023157"/>
    <s v="Gold"/>
    <x v="38"/>
    <x v="2"/>
    <x v="0"/>
    <x v="4"/>
    <n v="40308"/>
  </r>
  <r>
    <x v="4"/>
    <d v="2022-05-20T00:00:00"/>
    <s v="DP2Q198"/>
    <s v="OLUWAFUNMI JAMES"/>
    <s v="Oluwafunmi James"/>
    <s v="Ojames@coriftech.com"/>
    <x v="0"/>
    <s v="PVC2023189"/>
    <s v="Premium"/>
    <x v="4"/>
    <x v="0"/>
    <x v="7"/>
    <x v="4"/>
    <n v="162460"/>
  </r>
  <r>
    <x v="4"/>
    <d v="2022-05-21T00:00:00"/>
    <s v="DP3J407"/>
    <s v="CYRUS SMITH"/>
    <s v="Cyrus Smith"/>
    <s v="Csmith@ymail.com"/>
    <x v="0"/>
    <s v="PVC2023183"/>
    <s v="Standard"/>
    <x v="1"/>
    <x v="1"/>
    <x v="5"/>
    <x v="1"/>
    <n v="133713"/>
  </r>
  <r>
    <x v="4"/>
    <d v="2022-05-22T00:00:00"/>
    <s v="DP3X503"/>
    <s v="ADENIYI TILLMAN"/>
    <s v="Adeniyi Tillman"/>
    <s v="Atillman@ymail.com"/>
    <x v="0"/>
    <s v="PVC2023119"/>
    <s v="Gold"/>
    <x v="27"/>
    <x v="1"/>
    <x v="4"/>
    <x v="4"/>
    <n v="136786"/>
  </r>
  <r>
    <x v="4"/>
    <d v="2022-05-23T00:00:00"/>
    <s v="DP2P143"/>
    <s v="FLETCHER MERRITT"/>
    <s v="Fletcher Merritt"/>
    <s v="Fmerritt@gmail.com"/>
    <x v="1"/>
    <s v="PVC2023193"/>
    <s v="Standard"/>
    <x v="20"/>
    <x v="1"/>
    <x v="3"/>
    <x v="2"/>
    <n v="93872"/>
  </r>
  <r>
    <x v="4"/>
    <d v="2022-05-24T00:00:00"/>
    <s v="DP2U229"/>
    <s v="BAKARE ANDREA"/>
    <s v="Bakare Andrea"/>
    <s v="Bandrea@coriftech.com"/>
    <x v="1"/>
    <s v="PVC2023117"/>
    <s v="Gold"/>
    <x v="10"/>
    <x v="3"/>
    <x v="2"/>
    <x v="4"/>
    <n v="8697"/>
  </r>
  <r>
    <x v="4"/>
    <d v="2022-05-26T00:00:00"/>
    <s v="DP3G431"/>
    <s v="MERCEDES SELHORST"/>
    <s v="Mercedes Selhorst"/>
    <s v="Mselhorst@gmail.com"/>
    <x v="1"/>
    <s v="PVC2023115"/>
    <s v="Premium"/>
    <x v="21"/>
    <x v="1"/>
    <x v="4"/>
    <x v="3"/>
    <n v="168443"/>
  </r>
  <r>
    <x v="4"/>
    <d v="2022-05-26T00:00:00"/>
    <s v="DP3I460"/>
    <s v="OLUWAFUNMI JAMES"/>
    <s v="Oluwafunmi James"/>
    <s v="Ojames@coriftech.com"/>
    <x v="0"/>
    <s v="PVC2023189"/>
    <s v="Premium"/>
    <x v="4"/>
    <x v="0"/>
    <x v="4"/>
    <x v="3"/>
    <n v="139431"/>
  </r>
  <r>
    <x v="4"/>
    <d v="2022-05-27T00:00:00"/>
    <s v="DP3W366"/>
    <s v="SAHEED THOMAS"/>
    <s v="Saheed Thomas"/>
    <s v="Sthomas@coriftech.com"/>
    <x v="0"/>
    <s v="PVC2023177"/>
    <s v="Standard"/>
    <x v="6"/>
    <x v="2"/>
    <x v="8"/>
    <x v="4"/>
    <n v="110229"/>
  </r>
  <r>
    <x v="4"/>
    <d v="2022-05-27T00:00:00"/>
    <s v="DP3O520"/>
    <s v="ROBERT JONES"/>
    <s v="Robert Jones"/>
    <s v="Rjones@gmail.com"/>
    <x v="1"/>
    <s v="PVC2023140"/>
    <s v="Standard"/>
    <x v="41"/>
    <x v="0"/>
    <x v="8"/>
    <x v="2"/>
    <n v="57946"/>
  </r>
  <r>
    <x v="4"/>
    <d v="2022-05-27T00:00:00"/>
    <s v="DP3J515"/>
    <s v="AYO WISE"/>
    <s v="Ayo Wise"/>
    <s v="Awise@coriftech.com"/>
    <x v="0"/>
    <s v="PVC2023174"/>
    <s v="Standard"/>
    <x v="15"/>
    <x v="1"/>
    <x v="6"/>
    <x v="2"/>
    <n v="110252"/>
  </r>
  <r>
    <x v="4"/>
    <d v="2022-05-28T00:00:00"/>
    <s v="DP3I568"/>
    <s v="OLUDOYE WEBER"/>
    <s v="Oludoye Weber"/>
    <s v="Oweber@ymail.com"/>
    <x v="1"/>
    <s v="PVC2023196"/>
    <s v="Gold"/>
    <x v="2"/>
    <x v="0"/>
    <x v="2"/>
    <x v="1"/>
    <n v="13225"/>
  </r>
  <r>
    <x v="4"/>
    <d v="2022-05-28T00:00:00"/>
    <s v="DP3F403"/>
    <s v="TAOHEED PERKINS"/>
    <s v="Taoheed Perkins"/>
    <s v="Tperkins@coriftech.com"/>
    <x v="1"/>
    <s v="PVC2023176"/>
    <s v="Standard"/>
    <x v="16"/>
    <x v="1"/>
    <x v="7"/>
    <x v="4"/>
    <n v="17745"/>
  </r>
  <r>
    <x v="4"/>
    <d v="2022-05-29T00:00:00"/>
    <s v="DP3J434"/>
    <s v="LANI KEY"/>
    <s v="Lani Key"/>
    <s v="Lkey@coriftech.com"/>
    <x v="1"/>
    <s v="PVC2023130"/>
    <s v="Premium"/>
    <x v="13"/>
    <x v="2"/>
    <x v="1"/>
    <x v="3"/>
    <n v="174296"/>
  </r>
  <r>
    <x v="4"/>
    <d v="2022-05-30T00:00:00"/>
    <s v="DP3B480"/>
    <s v="EBUKA MERCER"/>
    <s v="Ebuka Mercer"/>
    <s v="Emercer@ymail.com"/>
    <x v="1"/>
    <s v="PVC2023159"/>
    <s v="Standard"/>
    <x v="39"/>
    <x v="2"/>
    <x v="1"/>
    <x v="2"/>
    <n v="129002"/>
  </r>
  <r>
    <x v="4"/>
    <d v="2022-05-30T00:00:00"/>
    <s v="DP3S335"/>
    <s v="ROBERT JONES"/>
    <s v="Robert Jones"/>
    <s v="Rjones@gmail.com"/>
    <x v="1"/>
    <s v="PVC2023140"/>
    <s v="Standard"/>
    <x v="41"/>
    <x v="0"/>
    <x v="4"/>
    <x v="4"/>
    <n v="17177"/>
  </r>
  <r>
    <x v="4"/>
    <d v="2022-05-30T00:00:00"/>
    <s v="DP3E375"/>
    <s v="ODUMOSU MCCLURE"/>
    <s v="Odumosu Mcclure"/>
    <s v="Omcclure@gmail.com"/>
    <x v="0"/>
    <s v="PVC2023154"/>
    <s v="Standard"/>
    <x v="7"/>
    <x v="0"/>
    <x v="4"/>
    <x v="4"/>
    <n v="132161"/>
  </r>
  <r>
    <x v="4"/>
    <d v="2022-05-31T00:00:00"/>
    <s v="DP2N303"/>
    <s v="DESIRAE SPENCER"/>
    <s v="Desirae Spencer"/>
    <s v="Dspencer@coriftech.com"/>
    <x v="0"/>
    <s v="PVC2023123"/>
    <s v="Standard"/>
    <x v="2"/>
    <x v="0"/>
    <x v="7"/>
    <x v="4"/>
    <n v="181190"/>
  </r>
  <r>
    <x v="4"/>
    <d v="2022-05-31T00:00:00"/>
    <s v="DP3K489"/>
    <s v="IVORY SELHORST"/>
    <s v="Ivory Selhorst"/>
    <s v="Iselhorst@coriftech.com"/>
    <x v="1"/>
    <s v="PVC2023144"/>
    <s v="Premium"/>
    <x v="9"/>
    <x v="0"/>
    <x v="7"/>
    <x v="1"/>
    <n v="115254"/>
  </r>
  <r>
    <x v="4"/>
    <d v="2022-05-31T00:00:00"/>
    <s v="DP2S281"/>
    <s v="ADENIYI TILLMAN"/>
    <s v="Adeniyi Tillman"/>
    <s v="Atillman@ymail.com"/>
    <x v="0"/>
    <s v="PVC2023119"/>
    <s v="Gold"/>
    <x v="27"/>
    <x v="1"/>
    <x v="8"/>
    <x v="3"/>
    <n v="26381"/>
  </r>
  <r>
    <x v="5"/>
    <d v="2022-06-01T00:00:00"/>
    <s v="DP2W285"/>
    <s v="ADENIYI MCCONNELL"/>
    <s v="Adeniyi Mcconnell"/>
    <s v="Amcconnell@coriftech.com"/>
    <x v="1"/>
    <s v="PVC2023168"/>
    <s v="Standard"/>
    <x v="38"/>
    <x v="2"/>
    <x v="1"/>
    <x v="2"/>
    <n v="87849"/>
  </r>
  <r>
    <x v="5"/>
    <d v="2022-06-01T00:00:00"/>
    <s v="DP3D536"/>
    <s v="CYRUS SMITH"/>
    <s v="Cyrus Smith"/>
    <s v="Csmith@ymail.com"/>
    <x v="0"/>
    <s v="PVC2023183"/>
    <s v="Standard"/>
    <x v="1"/>
    <x v="1"/>
    <x v="8"/>
    <x v="1"/>
    <n v="133815"/>
  </r>
  <r>
    <x v="5"/>
    <d v="2022-06-01T00:00:00"/>
    <s v="DP2K165"/>
    <s v="CELESTE MILLER"/>
    <s v="Celeste Miller"/>
    <s v="Cmiller@gmail.com"/>
    <x v="1"/>
    <s v="PVC2023138"/>
    <s v="Premium"/>
    <x v="20"/>
    <x v="1"/>
    <x v="0"/>
    <x v="1"/>
    <n v="33144"/>
  </r>
  <r>
    <x v="5"/>
    <d v="2022-06-02T00:00:00"/>
    <s v="DP3Z340"/>
    <s v="BRITTANY BEST"/>
    <s v="Brittany Best"/>
    <s v="Bbest@gmail.com"/>
    <x v="1"/>
    <s v="PVC2023125"/>
    <s v="Premium"/>
    <x v="6"/>
    <x v="2"/>
    <x v="5"/>
    <x v="3"/>
    <n v="142406"/>
  </r>
  <r>
    <x v="5"/>
    <d v="2022-06-02T00:00:00"/>
    <s v="DP3L517"/>
    <s v="OLAYINKA HUMPHREY"/>
    <s v="Olayinka Humphrey"/>
    <s v="Ohumphrey@ymail.com"/>
    <x v="0"/>
    <s v="PVC2023170"/>
    <s v="Standard"/>
    <x v="7"/>
    <x v="0"/>
    <x v="0"/>
    <x v="3"/>
    <n v="177389"/>
  </r>
  <r>
    <x v="5"/>
    <d v="2022-06-02T00:00:00"/>
    <s v="DP2C157"/>
    <s v="EHINDERO ADAMS"/>
    <s v="Ehindero Adams"/>
    <s v="Eadams@gmail.com"/>
    <x v="1"/>
    <s v="PVC2023161"/>
    <s v="Premium"/>
    <x v="40"/>
    <x v="1"/>
    <x v="7"/>
    <x v="0"/>
    <n v="90409"/>
  </r>
  <r>
    <x v="5"/>
    <d v="2022-06-03T00:00:00"/>
    <s v="DP3W447"/>
    <s v="EMERSON PANOVSKY"/>
    <s v="Emerson Panovsky"/>
    <s v="Epanovsky@gmail.com"/>
    <x v="1"/>
    <s v="PVC2023198"/>
    <s v="Gold"/>
    <x v="10"/>
    <x v="3"/>
    <x v="5"/>
    <x v="1"/>
    <n v="95721"/>
  </r>
  <r>
    <x v="5"/>
    <d v="2022-06-05T00:00:00"/>
    <s v="DP3A398"/>
    <s v="NOEL MACK"/>
    <s v="Noel Mack"/>
    <s v="Nmack@gmail.com"/>
    <x v="0"/>
    <s v="PVC2023139"/>
    <s v="Gold"/>
    <x v="15"/>
    <x v="1"/>
    <x v="7"/>
    <x v="4"/>
    <n v="40531"/>
  </r>
  <r>
    <x v="5"/>
    <d v="2022-06-06T00:00:00"/>
    <s v="DP2N249"/>
    <s v="OPRAH ROD"/>
    <s v="Oprah Rod"/>
    <s v="Orod@coriftech.com"/>
    <x v="1"/>
    <s v="PVC2023192"/>
    <s v="Standard"/>
    <x v="36"/>
    <x v="2"/>
    <x v="0"/>
    <x v="2"/>
    <n v="159414"/>
  </r>
  <r>
    <x v="5"/>
    <d v="2022-06-07T00:00:00"/>
    <s v="DP3T606"/>
    <s v="EMERSON PANOVSKY"/>
    <s v="Emerson Panovsky"/>
    <s v="Epanovsky@gmail.com"/>
    <x v="1"/>
    <s v="PVC2023198"/>
    <s v="Gold"/>
    <x v="10"/>
    <x v="3"/>
    <x v="4"/>
    <x v="4"/>
    <n v="9418"/>
  </r>
  <r>
    <x v="5"/>
    <d v="2022-06-07T00:00:00"/>
    <s v="DP2D212"/>
    <s v="ODUMOSU DUKE"/>
    <s v="Odumosu Duke"/>
    <s v="Oduke@coriftech.com"/>
    <x v="0"/>
    <s v="PVC2023108"/>
    <s v="Standard"/>
    <x v="4"/>
    <x v="0"/>
    <x v="8"/>
    <x v="3"/>
    <n v="69644"/>
  </r>
  <r>
    <x v="5"/>
    <d v="2022-06-08T00:00:00"/>
    <s v="DP3X530"/>
    <s v="THOMAS BYRD"/>
    <s v="Thomas Byrd"/>
    <s v="Tbyrd@coriftech.com"/>
    <x v="0"/>
    <s v="PVC2023157"/>
    <s v="Gold"/>
    <x v="38"/>
    <x v="2"/>
    <x v="4"/>
    <x v="4"/>
    <n v="138925"/>
  </r>
  <r>
    <x v="5"/>
    <d v="2022-06-09T00:00:00"/>
    <s v="DP3W420"/>
    <s v="OLAYINKA CANINI"/>
    <s v="Olayinka Canini"/>
    <s v="Ocanini@coriftech.com"/>
    <x v="1"/>
    <s v="PVC2023106"/>
    <s v="Gold"/>
    <x v="32"/>
    <x v="0"/>
    <x v="8"/>
    <x v="3"/>
    <n v="11535"/>
  </r>
  <r>
    <x v="5"/>
    <d v="2022-06-10T00:00:00"/>
    <s v="DP3F484"/>
    <s v="OMOLARA SELHORST"/>
    <s v="Omolara Selhorst"/>
    <s v="Oselhorst@gmail.com"/>
    <x v="1"/>
    <s v="PVC2023178"/>
    <s v="Standard"/>
    <x v="20"/>
    <x v="1"/>
    <x v="5"/>
    <x v="4"/>
    <n v="17566"/>
  </r>
  <r>
    <x v="5"/>
    <d v="2022-06-10T00:00:00"/>
    <s v="DP2M275"/>
    <s v="ATHENA MACDONALD"/>
    <s v="Athena Macdonald"/>
    <s v="Amacdonald@gmail.com"/>
    <x v="0"/>
    <s v="PVC2023150"/>
    <s v="Gold"/>
    <x v="26"/>
    <x v="2"/>
    <x v="2"/>
    <x v="2"/>
    <n v="33384"/>
  </r>
  <r>
    <x v="5"/>
    <d v="2022-06-10T00:00:00"/>
    <s v="DP3E510"/>
    <s v="AYO VANG"/>
    <s v="Ayo Vang"/>
    <s v="Avang@coriftech.com"/>
    <x v="0"/>
    <s v="PVC2023199"/>
    <s v="Standard"/>
    <x v="33"/>
    <x v="0"/>
    <x v="9"/>
    <x v="2"/>
    <n v="64122"/>
  </r>
  <r>
    <x v="5"/>
    <d v="2022-06-12T00:00:00"/>
    <s v="DP2Q144"/>
    <s v="RHONA MITCHELL"/>
    <s v="Rhona Mitchell"/>
    <s v="Rmitchell@gmail.com"/>
    <x v="1"/>
    <s v="PVC2023141"/>
    <s v="Premium"/>
    <x v="1"/>
    <x v="1"/>
    <x v="7"/>
    <x v="1"/>
    <n v="179493"/>
  </r>
  <r>
    <x v="5"/>
    <d v="2022-06-12T00:00:00"/>
    <s v="DP3G512"/>
    <s v="KEATON JIMENEZ"/>
    <s v="Keaton Jimenez"/>
    <s v="Kjimenez@ymail.com"/>
    <x v="1"/>
    <s v="PVC2023165"/>
    <s v="Standard"/>
    <x v="31"/>
    <x v="2"/>
    <x v="6"/>
    <x v="4"/>
    <n v="181055"/>
  </r>
  <r>
    <x v="5"/>
    <d v="2022-06-12T00:00:00"/>
    <s v="DP2K138"/>
    <s v="BENEDICT MILLER"/>
    <s v="Benedict Miller"/>
    <s v="Bmiller@gmail.com"/>
    <x v="0"/>
    <s v="PVC2023118"/>
    <s v="Premium"/>
    <x v="12"/>
    <x v="2"/>
    <x v="1"/>
    <x v="0"/>
    <n v="153487"/>
  </r>
  <r>
    <x v="5"/>
    <d v="2022-06-13T00:00:00"/>
    <s v="DP3U472"/>
    <s v="CYRUS SMITH"/>
    <s v="Cyrus Smith"/>
    <s v="Csmith@ymail.com"/>
    <x v="0"/>
    <s v="PVC2023183"/>
    <s v="Standard"/>
    <x v="1"/>
    <x v="1"/>
    <x v="0"/>
    <x v="3"/>
    <n v="153276"/>
  </r>
  <r>
    <x v="5"/>
    <d v="2022-06-13T00:00:00"/>
    <s v="DP3H486"/>
    <s v="BAMIDELE ALEXANDER"/>
    <s v="Bamidele Alexander"/>
    <s v="Balexander@ymail.com"/>
    <x v="0"/>
    <s v="PVC2023113"/>
    <s v="Premium"/>
    <x v="3"/>
    <x v="1"/>
    <x v="4"/>
    <x v="1"/>
    <n v="117265"/>
  </r>
  <r>
    <x v="5"/>
    <d v="2022-06-14T00:00:00"/>
    <s v="DP2N141"/>
    <s v="ADEBOLA SOLIS"/>
    <s v="Adebola Solis"/>
    <s v="Asolis@ymail.com"/>
    <x v="1"/>
    <s v="PVC2023124"/>
    <s v="Standard"/>
    <x v="26"/>
    <x v="2"/>
    <x v="6"/>
    <x v="0"/>
    <n v="156430"/>
  </r>
  <r>
    <x v="5"/>
    <d v="2022-06-15T00:00:00"/>
    <s v="DP2X152"/>
    <s v="TAOHEED ABBOTT"/>
    <s v="Taoheed Abbott"/>
    <s v="Tabbott@coriftech.com"/>
    <x v="0"/>
    <s v="PVC2023116"/>
    <s v="Standard"/>
    <x v="18"/>
    <x v="1"/>
    <x v="3"/>
    <x v="3"/>
    <n v="181022"/>
  </r>
  <r>
    <x v="5"/>
    <d v="2022-06-16T00:00:00"/>
    <s v="DP3Z529"/>
    <s v="ISAAC MATT"/>
    <s v="Isaac Matt"/>
    <s v="Imatt@gmail.com"/>
    <x v="0"/>
    <s v="PVC2023158"/>
    <s v="Gold"/>
    <x v="42"/>
    <x v="1"/>
    <x v="2"/>
    <x v="3"/>
    <n v="150693"/>
  </r>
  <r>
    <x v="5"/>
    <d v="2022-06-18T00:00:00"/>
    <s v="DP3B561"/>
    <s v="EHINDERO ADAMS"/>
    <s v="Ehindero Adams"/>
    <s v="Eadams@gmail.com"/>
    <x v="1"/>
    <s v="PVC2023161"/>
    <s v="Premium"/>
    <x v="40"/>
    <x v="1"/>
    <x v="6"/>
    <x v="1"/>
    <n v="137029"/>
  </r>
  <r>
    <x v="5"/>
    <d v="2022-06-19T00:00:00"/>
    <s v="DP3G485"/>
    <s v="KEHINDE BUSH"/>
    <s v="Kehinde Bush"/>
    <s v="Kbush@coriftech.com"/>
    <x v="1"/>
    <s v="PVC2023180"/>
    <s v="Standard"/>
    <x v="4"/>
    <x v="0"/>
    <x v="3"/>
    <x v="0"/>
    <n v="172353"/>
  </r>
  <r>
    <x v="5"/>
    <d v="2022-06-19T00:00:00"/>
    <s v="DP2W204"/>
    <s v="OPRAH ROD"/>
    <s v="Oprah Rod"/>
    <s v="Orod@coriftech.com"/>
    <x v="1"/>
    <s v="PVC2023192"/>
    <s v="Standard"/>
    <x v="36"/>
    <x v="2"/>
    <x v="8"/>
    <x v="3"/>
    <n v="178773"/>
  </r>
  <r>
    <x v="5"/>
    <d v="2022-06-23T00:00:00"/>
    <s v="DP2F268"/>
    <s v="BAKARE ANDREA"/>
    <s v="Bakare Andrea"/>
    <s v="Bandrea@coriftech.com"/>
    <x v="1"/>
    <s v="PVC2023117"/>
    <s v="Gold"/>
    <x v="10"/>
    <x v="3"/>
    <x v="8"/>
    <x v="1"/>
    <n v="5990"/>
  </r>
  <r>
    <x v="5"/>
    <d v="2022-06-23T00:00:00"/>
    <s v="DP2G188"/>
    <s v="BELL JUAREZ"/>
    <s v="Bell Juarez"/>
    <s v="Bjuarez@coriftech.com"/>
    <x v="0"/>
    <s v="PVC2023173"/>
    <s v="Gold"/>
    <x v="8"/>
    <x v="1"/>
    <x v="7"/>
    <x v="1"/>
    <n v="189464"/>
  </r>
  <r>
    <x v="5"/>
    <d v="2022-06-23T00:00:00"/>
    <s v="DP3I406"/>
    <s v="OLUDOYE WEBER"/>
    <s v="Oludoye Weber"/>
    <s v="Oweber@ymail.com"/>
    <x v="1"/>
    <s v="PVC2023196"/>
    <s v="Gold"/>
    <x v="2"/>
    <x v="0"/>
    <x v="5"/>
    <x v="0"/>
    <n v="22661"/>
  </r>
  <r>
    <x v="5"/>
    <d v="2022-06-24T00:00:00"/>
    <s v="DP3E402"/>
    <s v="TOYIN DOUGLAS"/>
    <s v="Toyin Douglas"/>
    <s v="Tdouglas@gmail.com"/>
    <x v="1"/>
    <s v="PVC2023160"/>
    <s v="Standard"/>
    <x v="37"/>
    <x v="0"/>
    <x v="2"/>
    <x v="1"/>
    <n v="44242"/>
  </r>
  <r>
    <x v="5"/>
    <d v="2022-06-24T00:00:00"/>
    <s v="DP2Z124"/>
    <s v="CYRUS SMITH"/>
    <s v="Cyrus Smith"/>
    <s v="Csmith@ymail.com"/>
    <x v="0"/>
    <s v="PVC2023183"/>
    <s v="Standard"/>
    <x v="1"/>
    <x v="1"/>
    <x v="7"/>
    <x v="4"/>
    <n v="63219"/>
  </r>
  <r>
    <x v="5"/>
    <d v="2022-06-25T00:00:00"/>
    <s v="DP3O439"/>
    <s v="CELESTE MILLER"/>
    <s v="Celeste Miller"/>
    <s v="Cmiller@gmail.com"/>
    <x v="1"/>
    <s v="PVC2023138"/>
    <s v="Premium"/>
    <x v="20"/>
    <x v="1"/>
    <x v="8"/>
    <x v="1"/>
    <n v="50215"/>
  </r>
  <r>
    <x v="5"/>
    <d v="2022-06-25T00:00:00"/>
    <s v="DP3Q549"/>
    <s v="OPRAH ROD"/>
    <s v="Oprah Rod"/>
    <s v="Orod@coriftech.com"/>
    <x v="1"/>
    <s v="PVC2023192"/>
    <s v="Standard"/>
    <x v="36"/>
    <x v="2"/>
    <x v="5"/>
    <x v="3"/>
    <n v="34306"/>
  </r>
  <r>
    <x v="5"/>
    <d v="2022-06-25T00:00:00"/>
    <s v="DP2L220"/>
    <s v="ADENIYI CHANG"/>
    <s v="Adeniyi Chang"/>
    <s v="Achang@gmail.com"/>
    <x v="1"/>
    <s v="PVC2023110"/>
    <s v="Premium"/>
    <x v="19"/>
    <x v="1"/>
    <x v="7"/>
    <x v="1"/>
    <n v="184598"/>
  </r>
  <r>
    <x v="5"/>
    <d v="2022-06-26T00:00:00"/>
    <s v="DP3U418"/>
    <s v="ADEBOLA SOLIS"/>
    <s v="Adebola Solis"/>
    <s v="Asolis@ymail.com"/>
    <x v="1"/>
    <s v="PVC2023124"/>
    <s v="Standard"/>
    <x v="26"/>
    <x v="2"/>
    <x v="3"/>
    <x v="3"/>
    <n v="11047"/>
  </r>
  <r>
    <x v="5"/>
    <d v="2022-06-26T00:00:00"/>
    <s v="DP3W555"/>
    <s v="ATHENA MACDONALD"/>
    <s v="Athena Macdonald"/>
    <s v="Amacdonald@gmail.com"/>
    <x v="0"/>
    <s v="PVC2023150"/>
    <s v="Gold"/>
    <x v="26"/>
    <x v="2"/>
    <x v="4"/>
    <x v="1"/>
    <n v="122485"/>
  </r>
  <r>
    <x v="5"/>
    <d v="2022-06-26T00:00:00"/>
    <s v="DP2H297"/>
    <s v="ADEBOLA SOLIS"/>
    <s v="Adebola Solis"/>
    <s v="Asolis@ymail.com"/>
    <x v="1"/>
    <s v="PVC2023124"/>
    <s v="Standard"/>
    <x v="26"/>
    <x v="2"/>
    <x v="4"/>
    <x v="0"/>
    <n v="179722"/>
  </r>
  <r>
    <x v="5"/>
    <d v="2022-06-28T00:00:00"/>
    <s v="DP3V473"/>
    <s v="OLAOGUN GILBERT"/>
    <s v="Olaogun Gilbert"/>
    <s v="Ogilbert@gmail.com"/>
    <x v="0"/>
    <s v="PVC2023179"/>
    <s v="Standard"/>
    <x v="5"/>
    <x v="2"/>
    <x v="4"/>
    <x v="1"/>
    <n v="143446"/>
  </r>
  <r>
    <x v="5"/>
    <d v="2022-06-28T00:00:00"/>
    <s v="DP3G539"/>
    <s v="ADENIYI WEAVER"/>
    <s v="Adeniyi Weaver"/>
    <s v="Aweaver@ymail.com"/>
    <x v="0"/>
    <s v="PVC2023105"/>
    <s v="Gold"/>
    <x v="29"/>
    <x v="2"/>
    <x v="5"/>
    <x v="2"/>
    <n v="142359"/>
  </r>
  <r>
    <x v="5"/>
    <d v="2022-06-29T00:00:00"/>
    <s v="DP2Y153"/>
    <s v="PETER DIXON"/>
    <s v="Peter Dixon"/>
    <s v="Pdixon@gmail.com"/>
    <x v="1"/>
    <s v="PVC2023152"/>
    <s v="Standard"/>
    <x v="23"/>
    <x v="2"/>
    <x v="2"/>
    <x v="4"/>
    <n v="136863"/>
  </r>
  <r>
    <x v="5"/>
    <d v="2022-06-30T00:00:00"/>
    <s v="DP3P413"/>
    <s v="AMBER YANCER"/>
    <s v="Amber Yancer"/>
    <s v="Ayancer@coriftech.com"/>
    <x v="1"/>
    <s v="PVC2023175"/>
    <s v="Standard"/>
    <x v="5"/>
    <x v="2"/>
    <x v="4"/>
    <x v="1"/>
    <n v="6237"/>
  </r>
  <r>
    <x v="5"/>
    <d v="2022-06-30T00:00:00"/>
    <s v="DP3W582"/>
    <s v="OLAYINKA HUMPHREY"/>
    <s v="Olayinka Humphrey"/>
    <s v="Ohumphrey@ymail.com"/>
    <x v="0"/>
    <s v="PVC2023170"/>
    <s v="Standard"/>
    <x v="7"/>
    <x v="0"/>
    <x v="4"/>
    <x v="3"/>
    <n v="95891"/>
  </r>
  <r>
    <x v="5"/>
    <d v="2022-06-30T00:00:00"/>
    <s v="DP3C427"/>
    <s v="JOY CALLISTUS"/>
    <s v="Joy Callistus"/>
    <s v="Jcallistus@gmail.com"/>
    <x v="1"/>
    <s v="PVC2023156"/>
    <s v="Standard"/>
    <x v="12"/>
    <x v="2"/>
    <x v="7"/>
    <x v="1"/>
    <n v="172040"/>
  </r>
  <r>
    <x v="6"/>
    <d v="2022-07-01T00:00:00"/>
    <s v="DP3M572"/>
    <s v="BELL JUAREZ"/>
    <s v="Bell Juarez"/>
    <s v="Bjuarez@coriftech.com"/>
    <x v="0"/>
    <s v="PVC2023173"/>
    <s v="Gold"/>
    <x v="8"/>
    <x v="1"/>
    <x v="3"/>
    <x v="3"/>
    <n v="95070"/>
  </r>
  <r>
    <x v="6"/>
    <d v="2022-07-02T00:00:00"/>
    <s v="DP2V203"/>
    <s v="ODUMOSU MCCLURE"/>
    <s v="Odumosu Mcclure"/>
    <s v="Omcclure@gmail.com"/>
    <x v="0"/>
    <s v="PVC2023154"/>
    <s v="Standard"/>
    <x v="7"/>
    <x v="0"/>
    <x v="7"/>
    <x v="1"/>
    <n v="127239"/>
  </r>
  <r>
    <x v="6"/>
    <d v="2022-07-03T00:00:00"/>
    <s v="DP2L193"/>
    <s v="AMBER YANCER"/>
    <s v="Amber Yancer"/>
    <s v="Ayancer@coriftech.com"/>
    <x v="1"/>
    <s v="PVC2023175"/>
    <s v="Standard"/>
    <x v="5"/>
    <x v="2"/>
    <x v="8"/>
    <x v="3"/>
    <n v="80370"/>
  </r>
  <r>
    <x v="6"/>
    <d v="2022-07-04T00:00:00"/>
    <s v="DP3X449"/>
    <s v="AKANTEYON KNOWLES"/>
    <s v="Akanteyon Knowles"/>
    <s v="Aknowles@gmail.com"/>
    <x v="0"/>
    <s v="PVC2023184"/>
    <s v="Gold"/>
    <x v="26"/>
    <x v="2"/>
    <x v="7"/>
    <x v="4"/>
    <n v="177379"/>
  </r>
  <r>
    <x v="6"/>
    <d v="2022-07-04T00:00:00"/>
    <s v="DP2B183"/>
    <s v="BAMIDELE ALEXANDER"/>
    <s v="Bamidele Alexander"/>
    <s v="Balexander@ymail.com"/>
    <x v="0"/>
    <s v="PVC2023113"/>
    <s v="Premium"/>
    <x v="3"/>
    <x v="1"/>
    <x v="9"/>
    <x v="3"/>
    <n v="77667"/>
  </r>
  <r>
    <x v="6"/>
    <d v="2022-07-05T00:00:00"/>
    <s v="DP2H162"/>
    <s v="SAHEED THOMAS"/>
    <s v="Saheed Thomas"/>
    <s v="Sthomas@coriftech.com"/>
    <x v="0"/>
    <s v="PVC2023177"/>
    <s v="Standard"/>
    <x v="6"/>
    <x v="2"/>
    <x v="7"/>
    <x v="1"/>
    <n v="155496"/>
  </r>
  <r>
    <x v="6"/>
    <d v="2022-07-10T00:00:00"/>
    <s v="DP3G404"/>
    <s v="DEACON COBB"/>
    <s v="Deacon Cobb"/>
    <s v="Dcobb@coriftech.com"/>
    <x v="0"/>
    <s v="PVC2023102"/>
    <s v="Gold"/>
    <x v="11"/>
    <x v="2"/>
    <x v="7"/>
    <x v="3"/>
    <n v="55674"/>
  </r>
  <r>
    <x v="6"/>
    <d v="2022-07-10T00:00:00"/>
    <s v="DP3C346"/>
    <s v="AGEMO BARNES"/>
    <s v="Agemo Barnes"/>
    <s v="Abarnes@gmail.com"/>
    <x v="1"/>
    <s v="PVC2023136"/>
    <s v="Premium"/>
    <x v="17"/>
    <x v="0"/>
    <x v="1"/>
    <x v="1"/>
    <n v="160115"/>
  </r>
  <r>
    <x v="6"/>
    <d v="2022-07-10T00:00:00"/>
    <s v="DP3H594"/>
    <s v="JAMES MCCARTY"/>
    <s v="James Mccarty"/>
    <s v="Jmccarty@gmail.com"/>
    <x v="0"/>
    <s v="PVC2023120"/>
    <s v="Standard"/>
    <x v="19"/>
    <x v="1"/>
    <x v="7"/>
    <x v="2"/>
    <n v="125796"/>
  </r>
  <r>
    <x v="6"/>
    <d v="2022-07-10T00:00:00"/>
    <s v="DP3C373"/>
    <s v="ISADORA JONES"/>
    <s v="Isadora Jones"/>
    <s v="Ijones@ymail.com"/>
    <x v="0"/>
    <s v="PVC2023171"/>
    <s v="Premium"/>
    <x v="39"/>
    <x v="2"/>
    <x v="8"/>
    <x v="3"/>
    <n v="155666"/>
  </r>
  <r>
    <x v="6"/>
    <d v="2022-07-12T00:00:00"/>
    <s v="DP3H324"/>
    <s v="OLAOGUN KIDD"/>
    <s v="Olaogun Kidd"/>
    <s v="Okidd@gmail.com"/>
    <x v="0"/>
    <s v="PVC2023134"/>
    <s v="Premium"/>
    <x v="21"/>
    <x v="1"/>
    <x v="5"/>
    <x v="0"/>
    <n v="52347"/>
  </r>
  <r>
    <x v="6"/>
    <d v="2022-07-12T00:00:00"/>
    <s v="DP3K354"/>
    <s v="JELANI MCKINNEY"/>
    <s v="Jelani Mckinney"/>
    <s v="Jmckinney@coriftech.com"/>
    <x v="1"/>
    <s v="PVC2023107"/>
    <s v="Gold"/>
    <x v="13"/>
    <x v="2"/>
    <x v="5"/>
    <x v="1"/>
    <n v="185237"/>
  </r>
  <r>
    <x v="6"/>
    <d v="2022-07-14T00:00:00"/>
    <s v="DP3S416"/>
    <s v="OMOLARA SELHORST"/>
    <s v="Omolara Selhorst"/>
    <s v="Oselhorst@gmail.com"/>
    <x v="1"/>
    <s v="PVC2023178"/>
    <s v="Standard"/>
    <x v="20"/>
    <x v="1"/>
    <x v="8"/>
    <x v="2"/>
    <n v="147729"/>
  </r>
  <r>
    <x v="6"/>
    <d v="2022-07-14T00:00:00"/>
    <s v="DP3U580"/>
    <s v="JARED DENNIS"/>
    <s v="Jared Dennis"/>
    <s v="Jdennis@ymail.com"/>
    <x v="0"/>
    <s v="PVC2023162"/>
    <s v="Premium"/>
    <x v="19"/>
    <x v="1"/>
    <x v="0"/>
    <x v="0"/>
    <n v="154081"/>
  </r>
  <r>
    <x v="6"/>
    <d v="2022-07-15T00:00:00"/>
    <s v="DP3J596"/>
    <s v="SAWYER HERRIOT"/>
    <s v="Sawyer Herriot"/>
    <s v="Sherriot@gmail.com"/>
    <x v="0"/>
    <s v="PVC2023155"/>
    <s v="Standard"/>
    <x v="23"/>
    <x v="2"/>
    <x v="0"/>
    <x v="1"/>
    <n v="42173"/>
  </r>
  <r>
    <x v="6"/>
    <d v="2022-07-16T00:00:00"/>
    <s v="DP3K516"/>
    <s v="KEHINDE BUSH"/>
    <s v="Kehinde Bush"/>
    <s v="Kbush@coriftech.com"/>
    <x v="1"/>
    <s v="PVC2023180"/>
    <s v="Standard"/>
    <x v="4"/>
    <x v="0"/>
    <x v="2"/>
    <x v="1"/>
    <n v="83538"/>
  </r>
  <r>
    <x v="6"/>
    <d v="2022-07-17T00:00:00"/>
    <s v="DP2A128"/>
    <s v="TAIBAT DENNIS"/>
    <s v="Taibat Dennis"/>
    <s v="Tdennis@gmail.com"/>
    <x v="0"/>
    <s v="PVC2023133"/>
    <s v="Premium"/>
    <x v="22"/>
    <x v="2"/>
    <x v="8"/>
    <x v="1"/>
    <n v="97205"/>
  </r>
  <r>
    <x v="6"/>
    <d v="2022-07-17T00:00:00"/>
    <s v="DP3A452"/>
    <s v="ADENIYI TILLMAN"/>
    <s v="Adeniyi Tillman"/>
    <s v="Atillman@ymail.com"/>
    <x v="0"/>
    <s v="PVC2023119"/>
    <s v="Gold"/>
    <x v="27"/>
    <x v="1"/>
    <x v="5"/>
    <x v="1"/>
    <n v="61132"/>
  </r>
  <r>
    <x v="6"/>
    <d v="2022-07-18T00:00:00"/>
    <s v="DP2K219"/>
    <s v="HIROKO PANOVSKY"/>
    <s v="Hiroko Panovsky"/>
    <s v="Hpanovsky@ymail.com"/>
    <x v="0"/>
    <s v="PVC2023182"/>
    <s v="Standard"/>
    <x v="2"/>
    <x v="0"/>
    <x v="3"/>
    <x v="1"/>
    <n v="174183"/>
  </r>
  <r>
    <x v="6"/>
    <d v="2022-07-20T00:00:00"/>
    <s v="DP3J353"/>
    <s v="BRITTANY BEST"/>
    <s v="Brittany Best"/>
    <s v="Bbest@gmail.com"/>
    <x v="1"/>
    <s v="PVC2023125"/>
    <s v="Premium"/>
    <x v="6"/>
    <x v="2"/>
    <x v="4"/>
    <x v="1"/>
    <n v="72614"/>
  </r>
  <r>
    <x v="6"/>
    <d v="2022-07-20T00:00:00"/>
    <s v="DP3B372"/>
    <s v="BAMIDELE ALEXANDER"/>
    <s v="Bamidele Alexander"/>
    <s v="Balexander@ymail.com"/>
    <x v="0"/>
    <s v="PVC2023113"/>
    <s v="Premium"/>
    <x v="3"/>
    <x v="1"/>
    <x v="4"/>
    <x v="1"/>
    <n v="17146"/>
  </r>
  <r>
    <x v="6"/>
    <d v="2022-07-20T00:00:00"/>
    <s v="DP3I379"/>
    <s v="ADENIYI MCCONNELL"/>
    <s v="Adeniyi Mcconnell"/>
    <s v="Amcconnell@coriftech.com"/>
    <x v="1"/>
    <s v="PVC2023168"/>
    <s v="Standard"/>
    <x v="38"/>
    <x v="2"/>
    <x v="6"/>
    <x v="2"/>
    <n v="60558"/>
  </r>
  <r>
    <x v="6"/>
    <d v="2022-07-22T00:00:00"/>
    <s v="DP2S146"/>
    <s v="IVORY SELHORST"/>
    <s v="Ivory Selhorst"/>
    <s v="Iselhorst@coriftech.com"/>
    <x v="1"/>
    <s v="PVC2023144"/>
    <s v="Premium"/>
    <x v="9"/>
    <x v="0"/>
    <x v="6"/>
    <x v="4"/>
    <n v="135386"/>
  </r>
  <r>
    <x v="6"/>
    <d v="2022-07-23T00:00:00"/>
    <s v="DP3B345"/>
    <s v="DESIRAE SPENCER"/>
    <s v="Desirae Spencer"/>
    <s v="Dspencer@coriftech.com"/>
    <x v="0"/>
    <s v="PVC2023123"/>
    <s v="Standard"/>
    <x v="2"/>
    <x v="0"/>
    <x v="9"/>
    <x v="4"/>
    <n v="75482"/>
  </r>
  <r>
    <x v="6"/>
    <d v="2022-07-24T00:00:00"/>
    <s v="DP2S119"/>
    <s v="DESIRAE SPENCER"/>
    <s v="Desirae Spencer"/>
    <s v="Dspencer@coriftech.com"/>
    <x v="0"/>
    <s v="PVC2023123"/>
    <s v="Standard"/>
    <x v="2"/>
    <x v="0"/>
    <x v="5"/>
    <x v="1"/>
    <n v="176107"/>
  </r>
  <r>
    <x v="6"/>
    <d v="2022-07-25T00:00:00"/>
    <s v="DP2F295"/>
    <s v="KEATON JIMENEZ"/>
    <s v="Keaton Jimenez"/>
    <s v="Kjimenez@ymail.com"/>
    <x v="1"/>
    <s v="PVC2023165"/>
    <s v="Standard"/>
    <x v="31"/>
    <x v="2"/>
    <x v="6"/>
    <x v="2"/>
    <n v="30550"/>
  </r>
  <r>
    <x v="6"/>
    <d v="2022-07-25T00:00:00"/>
    <s v="DP2X179"/>
    <s v="RHONA MITCHELL"/>
    <s v="Rhona Mitchell"/>
    <s v="Rmitchell@gmail.com"/>
    <x v="1"/>
    <s v="PVC2023141"/>
    <s v="Premium"/>
    <x v="1"/>
    <x v="1"/>
    <x v="0"/>
    <x v="1"/>
    <n v="132792"/>
  </r>
  <r>
    <x v="6"/>
    <d v="2022-07-25T00:00:00"/>
    <s v="DP3A479"/>
    <s v="ADEBOLA SOLIS"/>
    <s v="Adebola Solis"/>
    <s v="Asolis@ymail.com"/>
    <x v="1"/>
    <s v="PVC2023124"/>
    <s v="Standard"/>
    <x v="26"/>
    <x v="2"/>
    <x v="4"/>
    <x v="3"/>
    <n v="125335"/>
  </r>
  <r>
    <x v="6"/>
    <d v="2022-07-27T00:00:00"/>
    <s v="DP3N411"/>
    <s v="BRETT FERNANDEZ"/>
    <s v="Brett Fernandez"/>
    <s v="Bfernandez@gmail.com"/>
    <x v="0"/>
    <s v="PVC2023191"/>
    <s v="Premium"/>
    <x v="35"/>
    <x v="0"/>
    <x v="4"/>
    <x v="1"/>
    <n v="55809"/>
  </r>
  <r>
    <x v="6"/>
    <d v="2022-07-29T00:00:00"/>
    <s v="DP3Y315"/>
    <s v="ELEANOR DUANE"/>
    <s v="Eleanor Duane"/>
    <s v="Eduane@gmail.com"/>
    <x v="0"/>
    <s v="PVC2023195"/>
    <s v="Standard"/>
    <x v="31"/>
    <x v="2"/>
    <x v="3"/>
    <x v="3"/>
    <n v="119415"/>
  </r>
  <r>
    <x v="6"/>
    <d v="2022-07-29T00:00:00"/>
    <s v="DP3C562"/>
    <s v="EBUKA MERCER"/>
    <s v="Ebuka Mercer"/>
    <s v="Emercer@ymail.com"/>
    <x v="1"/>
    <s v="PVC2023159"/>
    <s v="Standard"/>
    <x v="39"/>
    <x v="2"/>
    <x v="6"/>
    <x v="3"/>
    <n v="178678"/>
  </r>
  <r>
    <x v="6"/>
    <d v="2022-07-29T00:00:00"/>
    <s v="DP2M221"/>
    <s v="ODUMOSU MCCLURE"/>
    <s v="Odumosu Mcclure"/>
    <s v="Omcclure@gmail.com"/>
    <x v="0"/>
    <s v="PVC2023154"/>
    <s v="Standard"/>
    <x v="7"/>
    <x v="0"/>
    <x v="4"/>
    <x v="1"/>
    <n v="110194"/>
  </r>
  <r>
    <x v="6"/>
    <d v="2022-07-30T00:00:00"/>
    <s v="DP2G161"/>
    <s v="ATHENA MACDONALD"/>
    <s v="Athena Macdonald"/>
    <s v="Amacdonald@gmail.com"/>
    <x v="0"/>
    <s v="PVC2023150"/>
    <s v="Gold"/>
    <x v="26"/>
    <x v="2"/>
    <x v="9"/>
    <x v="1"/>
    <n v="167389"/>
  </r>
  <r>
    <x v="6"/>
    <d v="2022-07-30T00:00:00"/>
    <s v="DP3K435"/>
    <s v="LESLY PORTER"/>
    <s v="Lesly Porter"/>
    <s v="Lporter@gmail.com"/>
    <x v="1"/>
    <s v="PVC2023137"/>
    <s v="Gold"/>
    <x v="21"/>
    <x v="1"/>
    <x v="1"/>
    <x v="3"/>
    <n v="168014"/>
  </r>
  <r>
    <x v="6"/>
    <d v="2022-07-30T00:00:00"/>
    <s v="DP3Z316"/>
    <s v="NYSSA WALTON"/>
    <s v="Nyssa Walton"/>
    <s v="Nwalton@gmail.com"/>
    <x v="0"/>
    <s v="PVC2023114"/>
    <s v="Gold"/>
    <x v="33"/>
    <x v="0"/>
    <x v="6"/>
    <x v="2"/>
    <n v="43851"/>
  </r>
  <r>
    <x v="7"/>
    <d v="2022-08-01T00:00:00"/>
    <s v="DP2B291"/>
    <s v="EMERSON PANOVSKY"/>
    <s v="Emerson Panovsky"/>
    <s v="Epanovsky@gmail.com"/>
    <x v="1"/>
    <s v="PVC2023198"/>
    <s v="Gold"/>
    <x v="10"/>
    <x v="3"/>
    <x v="7"/>
    <x v="4"/>
    <n v="34297"/>
  </r>
  <r>
    <x v="7"/>
    <d v="2022-08-02T00:00:00"/>
    <s v="DP3X368"/>
    <s v="HIROKO PANOVSKY"/>
    <s v="Hiroko Panovsky"/>
    <s v="Hpanovsky@ymail.com"/>
    <x v="0"/>
    <s v="PVC2023182"/>
    <s v="Standard"/>
    <x v="2"/>
    <x v="0"/>
    <x v="7"/>
    <x v="3"/>
    <n v="146416"/>
  </r>
  <r>
    <x v="7"/>
    <d v="2022-08-02T00:00:00"/>
    <s v="DP3Z586"/>
    <s v="SMALL ORR"/>
    <s v="Small Orr"/>
    <s v="Sorr@gmail.com"/>
    <x v="1"/>
    <s v="PVC2023164"/>
    <s v="Gold"/>
    <x v="28"/>
    <x v="2"/>
    <x v="2"/>
    <x v="1"/>
    <n v="145620"/>
  </r>
  <r>
    <x v="7"/>
    <d v="2022-08-02T00:00:00"/>
    <s v="DP3P575"/>
    <s v="AYO WISE"/>
    <s v="Ayo Wise"/>
    <s v="Awise@coriftech.com"/>
    <x v="0"/>
    <s v="PVC2023174"/>
    <s v="Standard"/>
    <x v="15"/>
    <x v="1"/>
    <x v="7"/>
    <x v="1"/>
    <n v="163717"/>
  </r>
  <r>
    <x v="7"/>
    <d v="2022-08-02T00:00:00"/>
    <s v="DP3I325"/>
    <s v="ADEBOLA EZICHI"/>
    <s v="Adebola Ezichi"/>
    <s v="Aezichi@gmail.com"/>
    <x v="1"/>
    <s v="PVC2023194"/>
    <s v="Standard"/>
    <x v="22"/>
    <x v="2"/>
    <x v="4"/>
    <x v="2"/>
    <n v="115552"/>
  </r>
  <r>
    <x v="7"/>
    <d v="2022-08-03T00:00:00"/>
    <s v="DP3Q360"/>
    <s v="OKEDIRAN MITCHELL"/>
    <s v="Okediran Mitchell"/>
    <s v="Omitchell@ymail.com"/>
    <x v="1"/>
    <s v="PVC2023190"/>
    <s v="Premium"/>
    <x v="6"/>
    <x v="2"/>
    <x v="3"/>
    <x v="1"/>
    <n v="184568"/>
  </r>
  <r>
    <x v="7"/>
    <d v="2022-08-05T00:00:00"/>
    <s v="DP2P251"/>
    <s v="AKANTEYON KNOWLES"/>
    <s v="Akanteyon Knowles"/>
    <s v="Aknowles@gmail.com"/>
    <x v="0"/>
    <s v="PVC2023184"/>
    <s v="Gold"/>
    <x v="26"/>
    <x v="2"/>
    <x v="5"/>
    <x v="1"/>
    <n v="12136"/>
  </r>
  <r>
    <x v="7"/>
    <d v="2022-08-05T00:00:00"/>
    <s v="DP3Z505"/>
    <s v="LATIFAH OGBONNA"/>
    <s v="Latifah Ogbonna"/>
    <s v="Logbonna@ymail.com"/>
    <x v="0"/>
    <s v="PVC2023111"/>
    <s v="Premium"/>
    <x v="24"/>
    <x v="0"/>
    <x v="0"/>
    <x v="1"/>
    <n v="83048"/>
  </r>
  <r>
    <x v="7"/>
    <d v="2022-08-07T00:00:00"/>
    <s v="DP3J542"/>
    <s v="LAEL CARTER"/>
    <s v="Lael Carter"/>
    <s v="Lcarter@coriftech.com"/>
    <x v="1"/>
    <s v="PVC2023101"/>
    <s v="Standard"/>
    <x v="25"/>
    <x v="2"/>
    <x v="1"/>
    <x v="1"/>
    <n v="173125"/>
  </r>
  <r>
    <x v="7"/>
    <d v="2022-08-09T00:00:00"/>
    <s v="DP3V446"/>
    <s v="ADENIYI WEAVER"/>
    <s v="Adeniyi Weaver"/>
    <s v="Aweaver@ymail.com"/>
    <x v="0"/>
    <s v="PVC2023105"/>
    <s v="Gold"/>
    <x v="29"/>
    <x v="2"/>
    <x v="7"/>
    <x v="1"/>
    <n v="150154"/>
  </r>
  <r>
    <x v="7"/>
    <d v="2022-08-10T00:00:00"/>
    <s v="DP3M545"/>
    <s v="NELL YANCER"/>
    <s v="Nell Yancer"/>
    <s v="Nyancer@gmail.com"/>
    <x v="1"/>
    <s v="PVC2023129"/>
    <s v="Gold"/>
    <x v="26"/>
    <x v="2"/>
    <x v="6"/>
    <x v="4"/>
    <n v="135463"/>
  </r>
  <r>
    <x v="7"/>
    <d v="2022-08-10T00:00:00"/>
    <s v="DP3D320"/>
    <s v="AGEMO BARNES"/>
    <s v="Agemo Barnes"/>
    <s v="Abarnes@gmail.com"/>
    <x v="1"/>
    <s v="PVC2023136"/>
    <s v="Premium"/>
    <x v="17"/>
    <x v="0"/>
    <x v="8"/>
    <x v="0"/>
    <n v="113871"/>
  </r>
  <r>
    <x v="7"/>
    <d v="2022-08-11T00:00:00"/>
    <s v="DP3R415"/>
    <s v="BAMIDELE ALEXANDER"/>
    <s v="Bamidele Alexander"/>
    <s v="Balexander@ymail.com"/>
    <x v="0"/>
    <s v="PVC2023113"/>
    <s v="Premium"/>
    <x v="3"/>
    <x v="1"/>
    <x v="3"/>
    <x v="1"/>
    <n v="52402"/>
  </r>
  <r>
    <x v="7"/>
    <d v="2022-08-11T00:00:00"/>
    <s v="DP3T498"/>
    <s v="BAMIDELE ALEXANDER"/>
    <s v="Bamidele Alexander"/>
    <s v="Balexander@ymail.com"/>
    <x v="0"/>
    <s v="PVC2023113"/>
    <s v="Premium"/>
    <x v="3"/>
    <x v="1"/>
    <x v="6"/>
    <x v="2"/>
    <n v="163819"/>
  </r>
  <r>
    <x v="7"/>
    <d v="2022-08-11T00:00:00"/>
    <s v="DP3E348"/>
    <s v="ADENIYI TILLMAN"/>
    <s v="Adeniyi Tillman"/>
    <s v="Atillman@ymail.com"/>
    <x v="0"/>
    <s v="PVC2023119"/>
    <s v="Gold"/>
    <x v="27"/>
    <x v="1"/>
    <x v="5"/>
    <x v="3"/>
    <n v="186986"/>
  </r>
  <r>
    <x v="7"/>
    <d v="2022-08-11T00:00:00"/>
    <s v="DP3E321"/>
    <s v="ODUMOSU DUKE"/>
    <s v="Odumosu Duke"/>
    <s v="Oduke@coriftech.com"/>
    <x v="0"/>
    <s v="PVC2023108"/>
    <s v="Standard"/>
    <x v="4"/>
    <x v="0"/>
    <x v="3"/>
    <x v="0"/>
    <n v="42632"/>
  </r>
  <r>
    <x v="7"/>
    <d v="2022-08-11T00:00:00"/>
    <s v="DP2I163"/>
    <s v="ADENIYI WEAVER"/>
    <s v="Adeniyi Weaver"/>
    <s v="Aweaver@ymail.com"/>
    <x v="0"/>
    <s v="PVC2023105"/>
    <s v="Gold"/>
    <x v="29"/>
    <x v="2"/>
    <x v="2"/>
    <x v="4"/>
    <n v="80910"/>
  </r>
  <r>
    <x v="7"/>
    <d v="2022-08-11T00:00:00"/>
    <s v="DP2Q117"/>
    <s v="BRITTANY BEST"/>
    <s v="Brittany Best"/>
    <s v="Bbest@gmail.com"/>
    <x v="1"/>
    <s v="PVC2023125"/>
    <s v="Premium"/>
    <x v="6"/>
    <x v="2"/>
    <x v="7"/>
    <x v="1"/>
    <n v="59918"/>
  </r>
  <r>
    <x v="7"/>
    <d v="2022-08-12T00:00:00"/>
    <s v="DP3R334"/>
    <s v="ADENIYI WEAVER"/>
    <s v="Adeniyi Weaver"/>
    <s v="Aweaver@ymail.com"/>
    <x v="0"/>
    <s v="PVC2023105"/>
    <s v="Gold"/>
    <x v="29"/>
    <x v="2"/>
    <x v="6"/>
    <x v="0"/>
    <n v="117207"/>
  </r>
  <r>
    <x v="7"/>
    <d v="2022-08-12T00:00:00"/>
    <s v="DP3D374"/>
    <s v="AGEMO BARNES"/>
    <s v="Agemo Barnes"/>
    <s v="Abarnes@gmail.com"/>
    <x v="1"/>
    <s v="PVC2023136"/>
    <s v="Premium"/>
    <x v="17"/>
    <x v="0"/>
    <x v="7"/>
    <x v="1"/>
    <n v="168137"/>
  </r>
  <r>
    <x v="7"/>
    <d v="2022-08-13T00:00:00"/>
    <s v="DP3V365"/>
    <s v="EBUKA MERCER"/>
    <s v="Ebuka Mercer"/>
    <s v="Emercer@ymail.com"/>
    <x v="1"/>
    <s v="PVC2023159"/>
    <s v="Standard"/>
    <x v="39"/>
    <x v="2"/>
    <x v="9"/>
    <x v="4"/>
    <n v="39852"/>
  </r>
  <r>
    <x v="7"/>
    <d v="2022-08-14T00:00:00"/>
    <s v="DP2R118"/>
    <s v="NOEL MACK"/>
    <s v="Noel Mack"/>
    <s v="Nmack@gmail.com"/>
    <x v="0"/>
    <s v="PVC2023139"/>
    <s v="Gold"/>
    <x v="15"/>
    <x v="1"/>
    <x v="6"/>
    <x v="3"/>
    <n v="178243"/>
  </r>
  <r>
    <x v="7"/>
    <d v="2022-08-15T00:00:00"/>
    <s v="DP3T525"/>
    <s v="OKEDIRAN MITCHELL"/>
    <s v="Okediran Mitchell"/>
    <s v="Omitchell@ymail.com"/>
    <x v="1"/>
    <s v="PVC2023190"/>
    <s v="Premium"/>
    <x v="6"/>
    <x v="2"/>
    <x v="0"/>
    <x v="3"/>
    <n v="138750"/>
  </r>
  <r>
    <x v="7"/>
    <d v="2022-08-16T00:00:00"/>
    <s v="DP3W528"/>
    <s v="OLAOGUN GILBERT"/>
    <s v="Olaogun Gilbert"/>
    <s v="Ogilbert@gmail.com"/>
    <x v="0"/>
    <s v="PVC2023179"/>
    <s v="Standard"/>
    <x v="5"/>
    <x v="2"/>
    <x v="5"/>
    <x v="1"/>
    <n v="30338"/>
  </r>
  <r>
    <x v="7"/>
    <d v="2022-08-18T00:00:00"/>
    <s v="DP3K381"/>
    <s v="ELEANOR DUANE"/>
    <s v="Eleanor Duane"/>
    <s v="Eduane@gmail.com"/>
    <x v="0"/>
    <s v="PVC2023195"/>
    <s v="Standard"/>
    <x v="31"/>
    <x v="2"/>
    <x v="7"/>
    <x v="3"/>
    <n v="157051"/>
  </r>
  <r>
    <x v="7"/>
    <d v="2022-08-19T00:00:00"/>
    <s v="DP3B399"/>
    <s v="EMERSON PANOVSKY"/>
    <s v="Emerson Panovsky"/>
    <s v="Epanovsky@gmail.com"/>
    <x v="1"/>
    <s v="PVC2023198"/>
    <s v="Gold"/>
    <x v="10"/>
    <x v="3"/>
    <x v="9"/>
    <x v="0"/>
    <n v="173163"/>
  </r>
  <r>
    <x v="7"/>
    <d v="2022-08-19T00:00:00"/>
    <s v="DP2C238"/>
    <s v="PETER DIXON"/>
    <s v="Peter Dixon"/>
    <s v="Pdixon@gmail.com"/>
    <x v="1"/>
    <s v="PVC2023152"/>
    <s v="Standard"/>
    <x v="23"/>
    <x v="2"/>
    <x v="7"/>
    <x v="0"/>
    <n v="113794"/>
  </r>
  <r>
    <x v="7"/>
    <d v="2022-08-19T00:00:00"/>
    <s v="DP2R280"/>
    <s v="ROBERT JONES"/>
    <s v="Robert Jones"/>
    <s v="Rjones@gmail.com"/>
    <x v="1"/>
    <s v="PVC2023140"/>
    <s v="Standard"/>
    <x v="41"/>
    <x v="0"/>
    <x v="8"/>
    <x v="1"/>
    <n v="101184"/>
  </r>
  <r>
    <x v="7"/>
    <d v="2022-08-19T00:00:00"/>
    <s v="DP3F538"/>
    <s v="JOY GARZA"/>
    <s v="Joy Garza"/>
    <s v="Jgarza@ymail.com"/>
    <x v="0"/>
    <s v="PVC2023147"/>
    <s v="Premium"/>
    <x v="7"/>
    <x v="0"/>
    <x v="0"/>
    <x v="3"/>
    <n v="181490"/>
  </r>
  <r>
    <x v="7"/>
    <d v="2022-08-19T00:00:00"/>
    <s v="DP2Y207"/>
    <s v="BRYNNE NANKAM"/>
    <s v="Brynne Nankam"/>
    <s v="Bnankam@coriftech.com"/>
    <x v="0"/>
    <s v="PVC2023143"/>
    <s v="Gold"/>
    <x v="15"/>
    <x v="1"/>
    <x v="0"/>
    <x v="4"/>
    <n v="187570"/>
  </r>
  <r>
    <x v="7"/>
    <d v="2022-08-20T00:00:00"/>
    <s v="DP3S551"/>
    <s v="ROBERT JONES"/>
    <s v="Robert Jones"/>
    <s v="Rjones@gmail.com"/>
    <x v="1"/>
    <s v="PVC2023140"/>
    <s v="Standard"/>
    <x v="41"/>
    <x v="0"/>
    <x v="0"/>
    <x v="1"/>
    <n v="126731"/>
  </r>
  <r>
    <x v="7"/>
    <d v="2022-08-20T00:00:00"/>
    <s v="DP3D401"/>
    <s v="AYO VANG"/>
    <s v="Ayo Vang"/>
    <s v="Avang@coriftech.com"/>
    <x v="0"/>
    <s v="PVC2023199"/>
    <s v="Standard"/>
    <x v="33"/>
    <x v="0"/>
    <x v="4"/>
    <x v="3"/>
    <n v="57710"/>
  </r>
  <r>
    <x v="7"/>
    <d v="2022-08-22T00:00:00"/>
    <s v="DP2F187"/>
    <s v="ATHENA MACDONALD"/>
    <s v="Athena Macdonald"/>
    <s v="Amacdonald@gmail.com"/>
    <x v="0"/>
    <s v="PVC2023150"/>
    <s v="Gold"/>
    <x v="26"/>
    <x v="2"/>
    <x v="1"/>
    <x v="1"/>
    <n v="125905"/>
  </r>
  <r>
    <x v="7"/>
    <d v="2022-08-22T00:00:00"/>
    <s v="DP3A560"/>
    <s v="AYO WISE"/>
    <s v="Ayo Wise"/>
    <s v="Awise@coriftech.com"/>
    <x v="0"/>
    <s v="PVC2023174"/>
    <s v="Standard"/>
    <x v="15"/>
    <x v="1"/>
    <x v="2"/>
    <x v="1"/>
    <n v="74861"/>
  </r>
  <r>
    <x v="7"/>
    <d v="2022-08-23T00:00:00"/>
    <s v="DP3O331"/>
    <s v="GWENDOLYN APPLE"/>
    <s v="Gwendolyn Apple"/>
    <s v="Gapple@ymail.com"/>
    <x v="0"/>
    <s v="PVC2023167"/>
    <s v="Premium"/>
    <x v="0"/>
    <x v="0"/>
    <x v="5"/>
    <x v="1"/>
    <n v="62365"/>
  </r>
  <r>
    <x v="7"/>
    <d v="2022-08-24T00:00:00"/>
    <s v="DP3Z397"/>
    <s v="PETER DIXON"/>
    <s v="Peter Dixon"/>
    <s v="Pdixon@gmail.com"/>
    <x v="1"/>
    <s v="PVC2023152"/>
    <s v="Standard"/>
    <x v="23"/>
    <x v="2"/>
    <x v="2"/>
    <x v="2"/>
    <n v="177125"/>
  </r>
  <r>
    <x v="7"/>
    <d v="2022-08-24T00:00:00"/>
    <s v="DP2V176"/>
    <s v="ADELEKE FITZPATRICK"/>
    <s v="Adeleke Fitzpatrick"/>
    <s v="Afitzpatrick@gmail.com"/>
    <x v="0"/>
    <s v="PVC2023148"/>
    <s v="Standard"/>
    <x v="2"/>
    <x v="0"/>
    <x v="5"/>
    <x v="4"/>
    <n v="101265"/>
  </r>
  <r>
    <x v="7"/>
    <d v="2022-08-25T00:00:00"/>
    <s v="DP3C319"/>
    <s v="OLUWAFUNMI JAMES"/>
    <s v="Oluwafunmi James"/>
    <s v="Ojames@coriftech.com"/>
    <x v="0"/>
    <s v="PVC2023189"/>
    <s v="Premium"/>
    <x v="4"/>
    <x v="0"/>
    <x v="5"/>
    <x v="1"/>
    <n v="71581"/>
  </r>
  <r>
    <x v="7"/>
    <d v="2022-08-25T00:00:00"/>
    <s v="DP3P521"/>
    <s v="FEMI JORDAN"/>
    <s v="Femi Jordan"/>
    <s v="Fjordan@coriftech.com"/>
    <x v="1"/>
    <s v="PVC2023132"/>
    <s v="Standard"/>
    <x v="21"/>
    <x v="1"/>
    <x v="1"/>
    <x v="4"/>
    <n v="132297"/>
  </r>
  <r>
    <x v="7"/>
    <d v="2022-08-26T00:00:00"/>
    <s v="DP3E429"/>
    <s v="ADEBOLA SOLIS"/>
    <s v="Adebola Solis"/>
    <s v="Asolis@ymail.com"/>
    <x v="1"/>
    <s v="PVC2023124"/>
    <s v="Standard"/>
    <x v="26"/>
    <x v="2"/>
    <x v="7"/>
    <x v="4"/>
    <n v="21265"/>
  </r>
  <r>
    <x v="7"/>
    <d v="2022-08-27T00:00:00"/>
    <s v="DP3U337"/>
    <s v="INGRID BURRIS"/>
    <s v="Ingrid Burris"/>
    <s v="Iburris@coriftech.com"/>
    <x v="1"/>
    <s v="PVC2023128"/>
    <s v="Gold"/>
    <x v="37"/>
    <x v="0"/>
    <x v="7"/>
    <x v="2"/>
    <n v="136334"/>
  </r>
  <r>
    <x v="7"/>
    <d v="2022-08-27T00:00:00"/>
    <s v="DP3Q522"/>
    <s v="ADENIYI WEAVER"/>
    <s v="Adeniyi Weaver"/>
    <s v="Aweaver@ymail.com"/>
    <x v="0"/>
    <s v="PVC2023105"/>
    <s v="Gold"/>
    <x v="29"/>
    <x v="2"/>
    <x v="7"/>
    <x v="2"/>
    <n v="138221"/>
  </r>
  <r>
    <x v="7"/>
    <d v="2022-08-27T00:00:00"/>
    <s v="DP3K597"/>
    <s v="TAIBAT DENNIS"/>
    <s v="Taibat Dennis"/>
    <s v="Tdennis@gmail.com"/>
    <x v="0"/>
    <s v="PVC2023133"/>
    <s v="Premium"/>
    <x v="22"/>
    <x v="2"/>
    <x v="0"/>
    <x v="0"/>
    <n v="146152"/>
  </r>
  <r>
    <x v="7"/>
    <d v="2022-08-28T00:00:00"/>
    <s v="DP2J137"/>
    <s v="KEHINDE BUSH"/>
    <s v="Kehinde Bush"/>
    <s v="Kbush@coriftech.com"/>
    <x v="1"/>
    <s v="PVC2023180"/>
    <s v="Standard"/>
    <x v="4"/>
    <x v="0"/>
    <x v="7"/>
    <x v="0"/>
    <n v="51730"/>
  </r>
  <r>
    <x v="7"/>
    <d v="2022-08-28T00:00:00"/>
    <s v="DP3N357"/>
    <s v="ATHENA MACDONALD"/>
    <s v="Athena Macdonald"/>
    <s v="Amacdonald@gmail.com"/>
    <x v="0"/>
    <s v="PVC2023150"/>
    <s v="Gold"/>
    <x v="26"/>
    <x v="2"/>
    <x v="7"/>
    <x v="4"/>
    <n v="27700"/>
  </r>
  <r>
    <x v="7"/>
    <d v="2022-08-28T00:00:00"/>
    <s v="DP2I298"/>
    <s v="TAOHEED PERKINS"/>
    <s v="Taoheed Perkins"/>
    <s v="Tperkins@coriftech.com"/>
    <x v="1"/>
    <s v="PVC2023176"/>
    <s v="Standard"/>
    <x v="16"/>
    <x v="1"/>
    <x v="8"/>
    <x v="0"/>
    <n v="139662"/>
  </r>
  <r>
    <x v="7"/>
    <d v="2022-08-29T00:00:00"/>
    <s v="DP3M356"/>
    <s v="SMALL ORR"/>
    <s v="Small Orr"/>
    <s v="Sorr@gmail.com"/>
    <x v="1"/>
    <s v="PVC2023164"/>
    <s v="Gold"/>
    <x v="28"/>
    <x v="2"/>
    <x v="6"/>
    <x v="1"/>
    <n v="158051"/>
  </r>
  <r>
    <x v="7"/>
    <d v="2022-08-30T00:00:00"/>
    <s v="DP3Z370"/>
    <s v="LESLY PORTER"/>
    <s v="Lesly Porter"/>
    <s v="Lporter@gmail.com"/>
    <x v="1"/>
    <s v="PVC2023137"/>
    <s v="Gold"/>
    <x v="21"/>
    <x v="1"/>
    <x v="0"/>
    <x v="1"/>
    <n v="46612"/>
  </r>
  <r>
    <x v="8"/>
    <d v="2022-09-01T00:00:00"/>
    <s v="DP3Z478"/>
    <s v="LIBERTY BARNETT"/>
    <s v="Liberty Barnett"/>
    <s v="Lbarnett@gmail.com"/>
    <x v="0"/>
    <s v="PVC2023103"/>
    <s v="Standard"/>
    <x v="29"/>
    <x v="2"/>
    <x v="2"/>
    <x v="1"/>
    <n v="39210"/>
  </r>
  <r>
    <x v="8"/>
    <d v="2022-09-04T00:00:00"/>
    <s v="DP2I244"/>
    <s v="NYSSA WALTON"/>
    <s v="Nyssa Walton"/>
    <s v="Nwalton@gmail.com"/>
    <x v="0"/>
    <s v="PVC2023114"/>
    <s v="Gold"/>
    <x v="33"/>
    <x v="0"/>
    <x v="7"/>
    <x v="1"/>
    <n v="125867"/>
  </r>
  <r>
    <x v="8"/>
    <d v="2022-09-04T00:00:00"/>
    <s v="DP3R469"/>
    <s v="WINIFRED OGBONNA"/>
    <s v="Winifred Ogbonna"/>
    <s v="Wogbonna@ymail.com"/>
    <x v="1"/>
    <s v="PVC2023149"/>
    <s v="Premium"/>
    <x v="43"/>
    <x v="1"/>
    <x v="4"/>
    <x v="0"/>
    <n v="49537"/>
  </r>
  <r>
    <x v="8"/>
    <d v="2022-09-04T00:00:00"/>
    <s v="DP3M464"/>
    <s v="OKEDIRAN MITCHELL"/>
    <s v="Okediran Mitchell"/>
    <s v="Omitchell@ymail.com"/>
    <x v="1"/>
    <s v="PVC2023190"/>
    <s v="Premium"/>
    <x v="6"/>
    <x v="2"/>
    <x v="7"/>
    <x v="4"/>
    <n v="132331"/>
  </r>
  <r>
    <x v="8"/>
    <d v="2022-09-05T00:00:00"/>
    <s v="DP3H540"/>
    <s v="SAHEED THOMAS"/>
    <s v="Saheed Thomas"/>
    <s v="Sthomas@coriftech.com"/>
    <x v="0"/>
    <s v="PVC2023177"/>
    <s v="Standard"/>
    <x v="6"/>
    <x v="2"/>
    <x v="4"/>
    <x v="1"/>
    <n v="47651"/>
  </r>
  <r>
    <x v="8"/>
    <d v="2022-09-06T00:00:00"/>
    <s v="DP3B534"/>
    <s v="EMERSON PANOVSKY"/>
    <s v="Emerson Panovsky"/>
    <s v="Epanovsky@gmail.com"/>
    <x v="1"/>
    <s v="PVC2023198"/>
    <s v="Gold"/>
    <x v="10"/>
    <x v="3"/>
    <x v="9"/>
    <x v="1"/>
    <n v="91596"/>
  </r>
  <r>
    <x v="8"/>
    <d v="2022-09-06T00:00:00"/>
    <s v="DP2P197"/>
    <s v="NYSSA WALTON"/>
    <s v="Nyssa Walton"/>
    <s v="Nwalton@gmail.com"/>
    <x v="0"/>
    <s v="PVC2023114"/>
    <s v="Gold"/>
    <x v="33"/>
    <x v="0"/>
    <x v="7"/>
    <x v="1"/>
    <n v="68010"/>
  </r>
  <r>
    <x v="8"/>
    <d v="2022-09-06T00:00:00"/>
    <s v="DP2J164"/>
    <s v="ADENIYI WEAVER"/>
    <s v="Adeniyi Weaver"/>
    <s v="Aweaver@ymail.com"/>
    <x v="0"/>
    <s v="PVC2023105"/>
    <s v="Gold"/>
    <x v="29"/>
    <x v="2"/>
    <x v="4"/>
    <x v="1"/>
    <n v="25464"/>
  </r>
  <r>
    <x v="8"/>
    <d v="2022-09-07T00:00:00"/>
    <s v="DP3S470"/>
    <s v="FLETCHER MERRITT"/>
    <s v="Fletcher Merritt"/>
    <s v="Fmerritt@gmail.com"/>
    <x v="1"/>
    <s v="PVC2023193"/>
    <s v="Standard"/>
    <x v="20"/>
    <x v="1"/>
    <x v="4"/>
    <x v="3"/>
    <n v="29271"/>
  </r>
  <r>
    <x v="8"/>
    <d v="2022-09-07T00:00:00"/>
    <s v="DP3Z475"/>
    <s v="EMERSON PANOVSKY"/>
    <s v="Emerson Panovsky"/>
    <s v="Epanovsky@gmail.com"/>
    <x v="1"/>
    <s v="PVC2023198"/>
    <s v="Gold"/>
    <x v="10"/>
    <x v="3"/>
    <x v="2"/>
    <x v="1"/>
    <n v="30494"/>
  </r>
  <r>
    <x v="8"/>
    <d v="2022-09-07T00:00:00"/>
    <s v="DP2O304"/>
    <s v="JARED DENNIS"/>
    <s v="Jared Dennis"/>
    <s v="Jdennis@ymail.com"/>
    <x v="0"/>
    <s v="PVC2023162"/>
    <s v="Premium"/>
    <x v="19"/>
    <x v="1"/>
    <x v="6"/>
    <x v="3"/>
    <n v="161295"/>
  </r>
  <r>
    <x v="8"/>
    <d v="2022-09-07T00:00:00"/>
    <s v="DP2H243"/>
    <s v="TAIBAT DENNIS"/>
    <s v="Taibat Dennis"/>
    <s v="Tdennis@gmail.com"/>
    <x v="0"/>
    <s v="PVC2023133"/>
    <s v="Premium"/>
    <x v="22"/>
    <x v="2"/>
    <x v="0"/>
    <x v="3"/>
    <n v="66921"/>
  </r>
  <r>
    <x v="8"/>
    <d v="2022-09-08T00:00:00"/>
    <s v="DP2O142"/>
    <s v="OKEDIRAN MITCHELL"/>
    <s v="Okediran Mitchell"/>
    <s v="Omitchell@ymail.com"/>
    <x v="1"/>
    <s v="PVC2023190"/>
    <s v="Premium"/>
    <x v="6"/>
    <x v="2"/>
    <x v="5"/>
    <x v="1"/>
    <n v="35878"/>
  </r>
  <r>
    <x v="8"/>
    <d v="2022-09-08T00:00:00"/>
    <s v="DP2D293"/>
    <s v="JOY CALLISTUS"/>
    <s v="Joy Callistus"/>
    <s v="Jcallistus@gmail.com"/>
    <x v="1"/>
    <s v="PVC2023156"/>
    <s v="Standard"/>
    <x v="12"/>
    <x v="2"/>
    <x v="5"/>
    <x v="3"/>
    <n v="52938"/>
  </r>
  <r>
    <x v="8"/>
    <d v="2022-09-09T00:00:00"/>
    <s v="DP2B264"/>
    <s v="OMOLARA FERRIS"/>
    <s v="Omolara Ferris"/>
    <s v="Oferris@gmail.com"/>
    <x v="1"/>
    <s v="PVC2023185"/>
    <s v="Standard"/>
    <x v="14"/>
    <x v="2"/>
    <x v="7"/>
    <x v="3"/>
    <n v="182735"/>
  </r>
  <r>
    <x v="8"/>
    <d v="2022-09-10T00:00:00"/>
    <s v="DP2H189"/>
    <s v="OLUWAFUNMI JAMES"/>
    <s v="Oluwafunmi James"/>
    <s v="Ojames@coriftech.com"/>
    <x v="0"/>
    <s v="PVC2023189"/>
    <s v="Premium"/>
    <x v="4"/>
    <x v="0"/>
    <x v="1"/>
    <x v="3"/>
    <n v="59908"/>
  </r>
  <r>
    <x v="8"/>
    <d v="2022-09-11T00:00:00"/>
    <s v="DP3O385"/>
    <s v="HIROKO PANOVSKY"/>
    <s v="Hiroko Panovsky"/>
    <s v="Hpanovsky@ymail.com"/>
    <x v="0"/>
    <s v="PVC2023182"/>
    <s v="Standard"/>
    <x v="2"/>
    <x v="0"/>
    <x v="1"/>
    <x v="3"/>
    <n v="179775"/>
  </r>
  <r>
    <x v="8"/>
    <d v="2022-09-12T00:00:00"/>
    <s v="DP3U607"/>
    <s v="OLUDAISI JOHNSON"/>
    <s v="Oludaisi Johnson"/>
    <s v="Ojohnson@coriftech.com"/>
    <x v="1"/>
    <s v="PVC2023122"/>
    <s v="Gold"/>
    <x v="32"/>
    <x v="0"/>
    <x v="0"/>
    <x v="2"/>
    <n v="33291"/>
  </r>
  <r>
    <x v="8"/>
    <d v="2022-09-12T00:00:00"/>
    <s v="DP2T174"/>
    <s v="ODUMOSU DUKE"/>
    <s v="Odumosu Duke"/>
    <s v="Oduke@coriftech.com"/>
    <x v="0"/>
    <s v="PVC2023108"/>
    <s v="Standard"/>
    <x v="4"/>
    <x v="0"/>
    <x v="5"/>
    <x v="4"/>
    <n v="179678"/>
  </r>
  <r>
    <x v="8"/>
    <d v="2022-09-12T00:00:00"/>
    <s v="DP3Z556"/>
    <s v="IVORY SELHORST"/>
    <s v="Ivory Selhorst"/>
    <s v="Iselhorst@coriftech.com"/>
    <x v="1"/>
    <s v="PVC2023144"/>
    <s v="Premium"/>
    <x v="9"/>
    <x v="0"/>
    <x v="0"/>
    <x v="3"/>
    <n v="122851"/>
  </r>
  <r>
    <x v="8"/>
    <d v="2022-09-13T00:00:00"/>
    <s v="DP3K462"/>
    <s v="ODUMOSU DUKE"/>
    <s v="Odumosu Duke"/>
    <s v="Oduke@coriftech.com"/>
    <x v="0"/>
    <s v="PVC2023108"/>
    <s v="Standard"/>
    <x v="4"/>
    <x v="0"/>
    <x v="4"/>
    <x v="0"/>
    <n v="98026"/>
  </r>
  <r>
    <x v="8"/>
    <d v="2022-09-15T00:00:00"/>
    <s v="DP3S308"/>
    <s v="NOEL MACK"/>
    <s v="Noel Mack"/>
    <s v="Nmack@gmail.com"/>
    <x v="0"/>
    <s v="PVC2023139"/>
    <s v="Gold"/>
    <x v="15"/>
    <x v="1"/>
    <x v="2"/>
    <x v="0"/>
    <n v="175594"/>
  </r>
  <r>
    <x v="8"/>
    <d v="2022-09-16T00:00:00"/>
    <s v="DP3E564"/>
    <s v="SAWYER HERRIOT"/>
    <s v="Sawyer Herriot"/>
    <s v="Sherriot@gmail.com"/>
    <x v="0"/>
    <s v="PVC2023155"/>
    <s v="Standard"/>
    <x v="23"/>
    <x v="2"/>
    <x v="4"/>
    <x v="3"/>
    <n v="148510"/>
  </r>
  <r>
    <x v="8"/>
    <d v="2022-09-17T00:00:00"/>
    <s v="DP3P359"/>
    <s v="BAKARE ANDREA"/>
    <s v="Bakare Andrea"/>
    <s v="Bandrea@coriftech.com"/>
    <x v="1"/>
    <s v="PVC2023117"/>
    <s v="Gold"/>
    <x v="10"/>
    <x v="3"/>
    <x v="2"/>
    <x v="4"/>
    <n v="77183"/>
  </r>
  <r>
    <x v="8"/>
    <d v="2022-09-17T00:00:00"/>
    <s v="DP3Y450"/>
    <s v="EMERSON PANOVSKY"/>
    <s v="Emerson Panovsky"/>
    <s v="Epanovsky@gmail.com"/>
    <x v="1"/>
    <s v="PVC2023198"/>
    <s v="Gold"/>
    <x v="10"/>
    <x v="3"/>
    <x v="0"/>
    <x v="3"/>
    <n v="9459"/>
  </r>
  <r>
    <x v="8"/>
    <d v="2022-09-17T00:00:00"/>
    <s v="DP3H432"/>
    <s v="FASINU ADAMS"/>
    <s v="Fasinu Adams"/>
    <s v="Fadams@ymail.com"/>
    <x v="0"/>
    <s v="PVC2023172"/>
    <s v="Standard"/>
    <x v="37"/>
    <x v="0"/>
    <x v="8"/>
    <x v="1"/>
    <n v="39515"/>
  </r>
  <r>
    <x v="8"/>
    <d v="2022-09-17T00:00:00"/>
    <s v="DP2N222"/>
    <s v="ISAAC MATT"/>
    <s v="Isaac Matt"/>
    <s v="Imatt@gmail.com"/>
    <x v="0"/>
    <s v="PVC2023158"/>
    <s v="Gold"/>
    <x v="42"/>
    <x v="1"/>
    <x v="7"/>
    <x v="3"/>
    <n v="56917"/>
  </r>
  <r>
    <x v="8"/>
    <d v="2022-09-18T00:00:00"/>
    <s v="DP2W150"/>
    <s v="BELL JUAREZ"/>
    <s v="Bell Juarez"/>
    <s v="Bjuarez@coriftech.com"/>
    <x v="0"/>
    <s v="PVC2023173"/>
    <s v="Gold"/>
    <x v="8"/>
    <x v="1"/>
    <x v="2"/>
    <x v="1"/>
    <n v="30808"/>
  </r>
  <r>
    <x v="8"/>
    <d v="2022-09-19T00:00:00"/>
    <s v="DP2J299"/>
    <s v="NYSSA WALTON"/>
    <s v="Nyssa Walton"/>
    <s v="Nwalton@gmail.com"/>
    <x v="0"/>
    <s v="PVC2023114"/>
    <s v="Gold"/>
    <x v="33"/>
    <x v="0"/>
    <x v="4"/>
    <x v="1"/>
    <n v="144867"/>
  </r>
  <r>
    <x v="8"/>
    <d v="2022-09-19T00:00:00"/>
    <s v="DP2T282"/>
    <s v="ODUMOSU DUKE"/>
    <s v="Odumosu Duke"/>
    <s v="Oduke@coriftech.com"/>
    <x v="0"/>
    <s v="PVC2023108"/>
    <s v="Standard"/>
    <x v="4"/>
    <x v="0"/>
    <x v="2"/>
    <x v="0"/>
    <n v="92464"/>
  </r>
  <r>
    <x v="8"/>
    <d v="2022-09-20T00:00:00"/>
    <s v="DP2X125"/>
    <s v="AYO VANG"/>
    <s v="Ayo Vang"/>
    <s v="Avang@coriftech.com"/>
    <x v="0"/>
    <s v="PVC2023199"/>
    <s v="Standard"/>
    <x v="33"/>
    <x v="0"/>
    <x v="7"/>
    <x v="0"/>
    <n v="164234"/>
  </r>
  <r>
    <x v="8"/>
    <d v="2022-09-20T00:00:00"/>
    <s v="DP2A182"/>
    <s v="GWENDOLYN APPLE"/>
    <s v="Gwendolyn Apple"/>
    <s v="Gapple@ymail.com"/>
    <x v="0"/>
    <s v="PVC2023167"/>
    <s v="Premium"/>
    <x v="0"/>
    <x v="0"/>
    <x v="5"/>
    <x v="0"/>
    <n v="78069"/>
  </r>
  <r>
    <x v="8"/>
    <d v="2022-09-22T00:00:00"/>
    <s v="DP3U364"/>
    <s v="TOYIN DOUGLAS"/>
    <s v="Toyin Douglas"/>
    <s v="Tdouglas@gmail.com"/>
    <x v="1"/>
    <s v="PVC2023160"/>
    <s v="Standard"/>
    <x v="37"/>
    <x v="0"/>
    <x v="2"/>
    <x v="2"/>
    <n v="74208"/>
  </r>
  <r>
    <x v="8"/>
    <d v="2022-09-23T00:00:00"/>
    <s v="DP2J191"/>
    <s v="ODUMOSU DUKE"/>
    <s v="Odumosu Duke"/>
    <s v="Oduke@coriftech.com"/>
    <x v="0"/>
    <s v="PVC2023108"/>
    <s v="Standard"/>
    <x v="4"/>
    <x v="0"/>
    <x v="7"/>
    <x v="3"/>
    <n v="167637"/>
  </r>
  <r>
    <x v="8"/>
    <d v="2022-09-27T00:00:00"/>
    <s v="DP2V149"/>
    <s v="FASINU GUZZO"/>
    <s v="Fasinu Guzzo"/>
    <s v="Fguzzo@ymail.com"/>
    <x v="0"/>
    <s v="PVC2023153"/>
    <s v="Standard"/>
    <x v="3"/>
    <x v="1"/>
    <x v="6"/>
    <x v="1"/>
    <n v="24480"/>
  </r>
  <r>
    <x v="8"/>
    <d v="2022-09-27T00:00:00"/>
    <s v="DP3S497"/>
    <s v="CYRUS SMITH"/>
    <s v="Cyrus Smith"/>
    <s v="Csmith@ymail.com"/>
    <x v="0"/>
    <s v="PVC2023183"/>
    <s v="Standard"/>
    <x v="1"/>
    <x v="1"/>
    <x v="1"/>
    <x v="2"/>
    <n v="47647"/>
  </r>
  <r>
    <x v="8"/>
    <d v="2022-09-29T00:00:00"/>
    <s v="DP2D158"/>
    <s v="EBUKA MERCER"/>
    <s v="Ebuka Mercer"/>
    <s v="Emercer@ymail.com"/>
    <x v="1"/>
    <s v="PVC2023159"/>
    <s v="Standard"/>
    <x v="39"/>
    <x v="2"/>
    <x v="1"/>
    <x v="2"/>
    <n v="79189"/>
  </r>
  <r>
    <x v="8"/>
    <d v="2022-09-30T00:00:00"/>
    <s v="DP3R523"/>
    <s v="EMERSON PANOVSKY"/>
    <s v="Emerson Panovsky"/>
    <s v="Epanovsky@gmail.com"/>
    <x v="1"/>
    <s v="PVC2023198"/>
    <s v="Gold"/>
    <x v="10"/>
    <x v="3"/>
    <x v="7"/>
    <x v="4"/>
    <n v="26122"/>
  </r>
  <r>
    <x v="9"/>
    <d v="2022-10-01T00:00:00"/>
    <s v="DP2K192"/>
    <s v="ODUMOSU DUKE"/>
    <s v="Odumosu Duke"/>
    <s v="Oduke@coriftech.com"/>
    <x v="0"/>
    <s v="PVC2023108"/>
    <s v="Standard"/>
    <x v="4"/>
    <x v="0"/>
    <x v="3"/>
    <x v="3"/>
    <n v="33725"/>
  </r>
  <r>
    <x v="9"/>
    <d v="2022-10-01T00:00:00"/>
    <s v="DP2E105"/>
    <s v="LATIFAH OGBONNA"/>
    <s v="Latifah Ogbonna"/>
    <s v="Logbonna@ymail.com"/>
    <x v="0"/>
    <s v="PVC2023111"/>
    <s v="Premium"/>
    <x v="24"/>
    <x v="0"/>
    <x v="0"/>
    <x v="2"/>
    <n v="78413"/>
  </r>
  <r>
    <x v="9"/>
    <d v="2022-10-02T00:00:00"/>
    <s v="DP2Y288"/>
    <s v="JAMES MCCARTY"/>
    <s v="James Mccarty"/>
    <s v="Jmccarty@gmail.com"/>
    <x v="0"/>
    <s v="PVC2023120"/>
    <s v="Standard"/>
    <x v="19"/>
    <x v="1"/>
    <x v="7"/>
    <x v="1"/>
    <n v="129688"/>
  </r>
  <r>
    <x v="9"/>
    <d v="2022-10-04T00:00:00"/>
    <s v="DP3Q495"/>
    <s v="WINIFRED OGBONNA"/>
    <s v="Winifred Ogbonna"/>
    <s v="Wogbonna@ymail.com"/>
    <x v="1"/>
    <s v="PVC2023149"/>
    <s v="Premium"/>
    <x v="43"/>
    <x v="1"/>
    <x v="3"/>
    <x v="2"/>
    <n v="112725"/>
  </r>
  <r>
    <x v="9"/>
    <d v="2022-10-04T00:00:00"/>
    <s v="DP3J461"/>
    <s v="LAEL CARTER"/>
    <s v="Lael Carter"/>
    <s v="Lcarter@coriftech.com"/>
    <x v="1"/>
    <s v="PVC2023101"/>
    <s v="Standard"/>
    <x v="25"/>
    <x v="2"/>
    <x v="8"/>
    <x v="3"/>
    <n v="69699"/>
  </r>
  <r>
    <x v="9"/>
    <d v="2022-10-07T00:00:00"/>
    <s v="DP3Q603"/>
    <s v="BRITTANY BEST"/>
    <s v="Brittany Best"/>
    <s v="Bbest@gmail.com"/>
    <x v="1"/>
    <s v="PVC2023125"/>
    <s v="Premium"/>
    <x v="6"/>
    <x v="2"/>
    <x v="4"/>
    <x v="2"/>
    <n v="46980"/>
  </r>
  <r>
    <x v="9"/>
    <d v="2022-10-07T00:00:00"/>
    <s v="DP2U121"/>
    <s v="TAOHEED PERKINS"/>
    <s v="Taoheed Perkins"/>
    <s v="Tperkins@coriftech.com"/>
    <x v="1"/>
    <s v="PVC2023176"/>
    <s v="Standard"/>
    <x v="16"/>
    <x v="1"/>
    <x v="1"/>
    <x v="1"/>
    <n v="133811"/>
  </r>
  <r>
    <x v="9"/>
    <d v="2022-10-08T00:00:00"/>
    <s v="DP2N276"/>
    <s v="MAITE CORTEZ"/>
    <s v="Maite Cortez"/>
    <s v="Mcortez@coriftech.com"/>
    <x v="1"/>
    <s v="PVC2023121"/>
    <s v="Gold"/>
    <x v="25"/>
    <x v="2"/>
    <x v="4"/>
    <x v="2"/>
    <n v="121408"/>
  </r>
  <r>
    <x v="9"/>
    <d v="2022-10-10T00:00:00"/>
    <s v="DP3N573"/>
    <s v="TAOHEED ABBOTT"/>
    <s v="Taoheed Abbott"/>
    <s v="Tabbott@coriftech.com"/>
    <x v="0"/>
    <s v="PVC2023116"/>
    <s v="Standard"/>
    <x v="18"/>
    <x v="1"/>
    <x v="4"/>
    <x v="3"/>
    <n v="98784"/>
  </r>
  <r>
    <x v="9"/>
    <d v="2022-10-11T00:00:00"/>
    <s v="DP3T552"/>
    <s v="BAMIDELE ALEXANDER"/>
    <s v="Bamidele Alexander"/>
    <s v="Balexander@ymail.com"/>
    <x v="0"/>
    <s v="PVC2023113"/>
    <s v="Premium"/>
    <x v="3"/>
    <x v="1"/>
    <x v="4"/>
    <x v="1"/>
    <n v="127333"/>
  </r>
  <r>
    <x v="9"/>
    <d v="2022-10-11T00:00:00"/>
    <s v="DP3P602"/>
    <s v="ADENIYI CHANG"/>
    <s v="Adeniyi Chang"/>
    <s v="Achang@gmail.com"/>
    <x v="1"/>
    <s v="PVC2023110"/>
    <s v="Premium"/>
    <x v="19"/>
    <x v="1"/>
    <x v="5"/>
    <x v="0"/>
    <n v="183111"/>
  </r>
  <r>
    <x v="9"/>
    <d v="2022-10-11T00:00:00"/>
    <s v="DP3C481"/>
    <s v="ODUMOSU DUKE"/>
    <s v="Odumosu Duke"/>
    <s v="Oduke@coriftech.com"/>
    <x v="0"/>
    <s v="PVC2023108"/>
    <s v="Standard"/>
    <x v="4"/>
    <x v="0"/>
    <x v="0"/>
    <x v="3"/>
    <n v="110634"/>
  </r>
  <r>
    <x v="9"/>
    <d v="2022-10-11T00:00:00"/>
    <s v="DP3P548"/>
    <s v="URIEL ADAMS"/>
    <s v="Uriel Adams"/>
    <s v="Uadams@gmail.com"/>
    <x v="1"/>
    <s v="PVC2023169"/>
    <s v="Standard"/>
    <x v="4"/>
    <x v="0"/>
    <x v="7"/>
    <x v="2"/>
    <n v="189933"/>
  </r>
  <r>
    <x v="9"/>
    <d v="2022-10-12T00:00:00"/>
    <s v="DP3B588"/>
    <s v="OLAOGUN GILBERT"/>
    <s v="Olaogun Gilbert"/>
    <s v="Ogilbert@gmail.com"/>
    <x v="0"/>
    <s v="PVC2023179"/>
    <s v="Standard"/>
    <x v="5"/>
    <x v="2"/>
    <x v="5"/>
    <x v="3"/>
    <n v="161075"/>
  </r>
  <r>
    <x v="9"/>
    <d v="2022-10-14T00:00:00"/>
    <s v="DP2E294"/>
    <s v="ADENIYI MCCONNELL"/>
    <s v="Adeniyi Mcconnell"/>
    <s v="Amcconnell@coriftech.com"/>
    <x v="1"/>
    <s v="PVC2023168"/>
    <s v="Standard"/>
    <x v="38"/>
    <x v="2"/>
    <x v="7"/>
    <x v="4"/>
    <n v="34700"/>
  </r>
  <r>
    <x v="9"/>
    <d v="2022-10-15T00:00:00"/>
    <s v="DP3B453"/>
    <s v="ADENIYI MCCONNELL"/>
    <s v="Adeniyi Mcconnell"/>
    <s v="Amcconnell@coriftech.com"/>
    <x v="1"/>
    <s v="PVC2023168"/>
    <s v="Standard"/>
    <x v="38"/>
    <x v="2"/>
    <x v="9"/>
    <x v="1"/>
    <n v="66175"/>
  </r>
  <r>
    <x v="9"/>
    <d v="2022-10-16T00:00:00"/>
    <s v="DP2D104"/>
    <s v="ODUMOSU DUKE"/>
    <s v="Odumosu Duke"/>
    <s v="Oduke@coriftech.com"/>
    <x v="0"/>
    <s v="PVC2023108"/>
    <s v="Standard"/>
    <x v="4"/>
    <x v="0"/>
    <x v="7"/>
    <x v="1"/>
    <n v="146152"/>
  </r>
  <r>
    <x v="9"/>
    <d v="2022-10-16T00:00:00"/>
    <s v="DP2P224"/>
    <s v="BRYNNE NANKAM"/>
    <s v="Brynne Nankam"/>
    <s v="Bnankam@coriftech.com"/>
    <x v="0"/>
    <s v="PVC2023143"/>
    <s v="Gold"/>
    <x v="15"/>
    <x v="1"/>
    <x v="4"/>
    <x v="1"/>
    <n v="181788"/>
  </r>
  <r>
    <x v="9"/>
    <d v="2022-10-17T00:00:00"/>
    <s v="DP2V230"/>
    <s v="MERCEDES SELHORST"/>
    <s v="Mercedes Selhorst"/>
    <s v="Mselhorst@gmail.com"/>
    <x v="1"/>
    <s v="PVC2023115"/>
    <s v="Premium"/>
    <x v="21"/>
    <x v="1"/>
    <x v="0"/>
    <x v="1"/>
    <n v="59272"/>
  </r>
  <r>
    <x v="9"/>
    <d v="2022-10-17T00:00:00"/>
    <s v="DP3C454"/>
    <s v="TAIBAT DENNIS"/>
    <s v="Taibat Dennis"/>
    <s v="Tdennis@gmail.com"/>
    <x v="0"/>
    <s v="PVC2023133"/>
    <s v="Premium"/>
    <x v="22"/>
    <x v="2"/>
    <x v="3"/>
    <x v="2"/>
    <n v="145696"/>
  </r>
  <r>
    <x v="9"/>
    <d v="2022-10-19T00:00:00"/>
    <s v="DP2Q252"/>
    <s v="OLAYINKA CANINI"/>
    <s v="Olayinka Canini"/>
    <s v="Ocanini@coriftech.com"/>
    <x v="1"/>
    <s v="PVC2023106"/>
    <s v="Gold"/>
    <x v="32"/>
    <x v="0"/>
    <x v="4"/>
    <x v="3"/>
    <n v="164198"/>
  </r>
  <r>
    <x v="9"/>
    <d v="2022-10-19T00:00:00"/>
    <s v="DP2Y126"/>
    <s v="TEMILADE KNAPP"/>
    <s v="Temilade Knapp"/>
    <s v="Tknapp@ymail.com"/>
    <x v="1"/>
    <s v="PVC2023187"/>
    <s v="Premium"/>
    <x v="3"/>
    <x v="1"/>
    <x v="1"/>
    <x v="3"/>
    <n v="81312"/>
  </r>
  <r>
    <x v="9"/>
    <d v="2022-10-19T00:00:00"/>
    <s v="DP2X206"/>
    <s v="AKANTEYON WILLIAMS"/>
    <s v="Akanteyon Williams"/>
    <s v="Awilliams@coriftech.com"/>
    <x v="1"/>
    <s v="PVC2023163"/>
    <s v="Gold"/>
    <x v="14"/>
    <x v="2"/>
    <x v="1"/>
    <x v="2"/>
    <n v="93595"/>
  </r>
  <r>
    <x v="9"/>
    <d v="2022-10-20T00:00:00"/>
    <s v="DP2F160"/>
    <s v="SAHEED THOMAS"/>
    <s v="Saheed Thomas"/>
    <s v="Sthomas@coriftech.com"/>
    <x v="0"/>
    <s v="PVC2023177"/>
    <s v="Standard"/>
    <x v="6"/>
    <x v="2"/>
    <x v="4"/>
    <x v="2"/>
    <n v="82907"/>
  </r>
  <r>
    <x v="9"/>
    <d v="2022-10-20T00:00:00"/>
    <s v="DP2U175"/>
    <s v="FASINU GUZZO"/>
    <s v="Fasinu Guzzo"/>
    <s v="Fguzzo@ymail.com"/>
    <x v="0"/>
    <s v="PVC2023153"/>
    <s v="Standard"/>
    <x v="3"/>
    <x v="1"/>
    <x v="2"/>
    <x v="1"/>
    <n v="84890"/>
  </r>
  <r>
    <x v="9"/>
    <d v="2022-10-20T00:00:00"/>
    <s v="DP3F349"/>
    <s v="LANI KEY"/>
    <s v="Lani Key"/>
    <s v="Lkey@coriftech.com"/>
    <x v="1"/>
    <s v="PVC2023130"/>
    <s v="Premium"/>
    <x v="13"/>
    <x v="2"/>
    <x v="0"/>
    <x v="3"/>
    <n v="163068"/>
  </r>
  <r>
    <x v="9"/>
    <d v="2022-10-22T00:00:00"/>
    <s v="DP2X260"/>
    <s v="BRYNNE NANKAM"/>
    <s v="Brynne Nankam"/>
    <s v="Bnankam@coriftech.com"/>
    <x v="0"/>
    <s v="PVC2023143"/>
    <s v="Gold"/>
    <x v="15"/>
    <x v="1"/>
    <x v="2"/>
    <x v="3"/>
    <n v="146595"/>
  </r>
  <r>
    <x v="9"/>
    <d v="2022-10-23T00:00:00"/>
    <s v="DP2D185"/>
    <s v="JAMES MCCARTY"/>
    <s v="James Mccarty"/>
    <s v="Jmccarty@gmail.com"/>
    <x v="0"/>
    <s v="PVC2023120"/>
    <s v="Standard"/>
    <x v="19"/>
    <x v="1"/>
    <x v="8"/>
    <x v="1"/>
    <n v="103758"/>
  </r>
  <r>
    <x v="9"/>
    <d v="2022-10-26T00:00:00"/>
    <s v="DP3P494"/>
    <s v="LEONARD GILBERT"/>
    <s v="Leonard Gilbert"/>
    <s v="Lgilbert@coriftech.com"/>
    <x v="0"/>
    <s v="PVC2023186"/>
    <s v="Standard"/>
    <x v="28"/>
    <x v="2"/>
    <x v="0"/>
    <x v="3"/>
    <n v="157532"/>
  </r>
  <r>
    <x v="9"/>
    <d v="2022-10-27T00:00:00"/>
    <s v="DP3A425"/>
    <s v="NYSSA WALTON"/>
    <s v="Nyssa Walton"/>
    <s v="Nwalton@gmail.com"/>
    <x v="0"/>
    <s v="PVC2023114"/>
    <s v="Gold"/>
    <x v="33"/>
    <x v="0"/>
    <x v="7"/>
    <x v="1"/>
    <n v="125352"/>
  </r>
  <r>
    <x v="9"/>
    <d v="2022-10-30T00:00:00"/>
    <s v="DP3Y585"/>
    <s v="OLAYINKA CANINI"/>
    <s v="Olayinka Canini"/>
    <s v="Ocanini@coriftech.com"/>
    <x v="1"/>
    <s v="PVC2023106"/>
    <s v="Gold"/>
    <x v="32"/>
    <x v="0"/>
    <x v="8"/>
    <x v="2"/>
    <n v="95076"/>
  </r>
  <r>
    <x v="9"/>
    <d v="2022-10-31T00:00:00"/>
    <s v="DP3B426"/>
    <s v="ISADORA JONES"/>
    <s v="Isadora Jones"/>
    <s v="Ijones@ymail.com"/>
    <x v="0"/>
    <s v="PVC2023171"/>
    <s v="Premium"/>
    <x v="39"/>
    <x v="2"/>
    <x v="3"/>
    <x v="0"/>
    <n v="93537"/>
  </r>
  <r>
    <x v="9"/>
    <d v="2022-10-31T00:00:00"/>
    <s v="DP3K327"/>
    <s v="CELESTE MILLER"/>
    <s v="Celeste Miller"/>
    <s v="Cmiller@gmail.com"/>
    <x v="1"/>
    <s v="PVC2023138"/>
    <s v="Premium"/>
    <x v="20"/>
    <x v="1"/>
    <x v="6"/>
    <x v="3"/>
    <n v="168914"/>
  </r>
  <r>
    <x v="10"/>
    <d v="2022-11-01T00:00:00"/>
    <s v="DP3M410"/>
    <s v="ADELEKE FITZPATRICK"/>
    <s v="Adeleke Fitzpatrick"/>
    <s v="Afitzpatrick@gmail.com"/>
    <x v="0"/>
    <s v="PVC2023148"/>
    <s v="Standard"/>
    <x v="2"/>
    <x v="0"/>
    <x v="4"/>
    <x v="2"/>
    <n v="111312"/>
  </r>
  <r>
    <x v="10"/>
    <d v="2022-11-01T00:00:00"/>
    <s v="DP2L112"/>
    <s v="ATHENA MACDONALD"/>
    <s v="Athena Macdonald"/>
    <s v="Amacdonald@gmail.com"/>
    <x v="0"/>
    <s v="PVC2023150"/>
    <s v="Gold"/>
    <x v="26"/>
    <x v="2"/>
    <x v="0"/>
    <x v="4"/>
    <n v="79030"/>
  </r>
  <r>
    <x v="10"/>
    <d v="2022-11-03T00:00:00"/>
    <s v="DP2I109"/>
    <s v="AMBER YANCER"/>
    <s v="Amber Yancer"/>
    <s v="Ayancer@coriftech.com"/>
    <x v="1"/>
    <s v="PVC2023175"/>
    <s v="Standard"/>
    <x v="5"/>
    <x v="2"/>
    <x v="1"/>
    <x v="0"/>
    <n v="36291"/>
  </r>
  <r>
    <x v="10"/>
    <d v="2022-11-04T00:00:00"/>
    <s v="DP2R172"/>
    <s v="ARETHA PERKINS"/>
    <s v="Aretha Perkins"/>
    <s v="Aperkins@coriftech.com"/>
    <x v="1"/>
    <s v="PVC2023135"/>
    <s v="Standard"/>
    <x v="30"/>
    <x v="2"/>
    <x v="3"/>
    <x v="3"/>
    <n v="156059"/>
  </r>
  <r>
    <x v="10"/>
    <d v="2022-11-04T00:00:00"/>
    <s v="DP3N330"/>
    <s v="LATIFAH OGBONNA"/>
    <s v="Latifah Ogbonna"/>
    <s v="Logbonna@ymail.com"/>
    <x v="0"/>
    <s v="PVC2023111"/>
    <s v="Premium"/>
    <x v="24"/>
    <x v="0"/>
    <x v="7"/>
    <x v="1"/>
    <n v="45389"/>
  </r>
  <r>
    <x v="10"/>
    <d v="2022-11-05T00:00:00"/>
    <s v="DP3H513"/>
    <s v="SMALL ORR"/>
    <s v="Small Orr"/>
    <s v="Sorr@gmail.com"/>
    <x v="1"/>
    <s v="PVC2023164"/>
    <s v="Gold"/>
    <x v="28"/>
    <x v="2"/>
    <x v="4"/>
    <x v="2"/>
    <n v="45544"/>
  </r>
  <r>
    <x v="10"/>
    <d v="2022-11-05T00:00:00"/>
    <s v="DP2C103"/>
    <s v="OLAOGUN KIDD"/>
    <s v="Olaogun Kidd"/>
    <s v="Okidd@gmail.com"/>
    <x v="0"/>
    <s v="PVC2023134"/>
    <s v="Premium"/>
    <x v="21"/>
    <x v="1"/>
    <x v="8"/>
    <x v="3"/>
    <n v="64962"/>
  </r>
  <r>
    <x v="10"/>
    <d v="2022-11-05T00:00:00"/>
    <s v="DP3Y477"/>
    <s v="OMOLARA FERRIS"/>
    <s v="Omolara Ferris"/>
    <s v="Oferris@gmail.com"/>
    <x v="1"/>
    <s v="PVC2023185"/>
    <s v="Standard"/>
    <x v="14"/>
    <x v="2"/>
    <x v="5"/>
    <x v="1"/>
    <n v="111465"/>
  </r>
  <r>
    <x v="10"/>
    <d v="2022-11-06T00:00:00"/>
    <s v="DP3U499"/>
    <s v="KEATON JIMENEZ"/>
    <s v="Keaton Jimenez"/>
    <s v="Kjimenez@ymail.com"/>
    <x v="1"/>
    <s v="PVC2023165"/>
    <s v="Standard"/>
    <x v="31"/>
    <x v="2"/>
    <x v="8"/>
    <x v="0"/>
    <n v="148688"/>
  </r>
  <r>
    <x v="10"/>
    <d v="2022-11-06T00:00:00"/>
    <s v="DP2X287"/>
    <s v="AYO EZICHI"/>
    <s v="Ayo Ezichi"/>
    <s v="Aezichi@coriftech.com"/>
    <x v="0"/>
    <s v="PVC2023131"/>
    <s v="Standard"/>
    <x v="28"/>
    <x v="2"/>
    <x v="1"/>
    <x v="3"/>
    <n v="43213"/>
  </r>
  <r>
    <x v="10"/>
    <d v="2022-11-06T00:00:00"/>
    <s v="DP3N600"/>
    <s v="AYO EZICHI"/>
    <s v="Ayo Ezichi"/>
    <s v="Aezichi@coriftech.com"/>
    <x v="0"/>
    <s v="PVC2023131"/>
    <s v="Standard"/>
    <x v="28"/>
    <x v="2"/>
    <x v="9"/>
    <x v="3"/>
    <n v="63523"/>
  </r>
  <r>
    <x v="10"/>
    <d v="2022-11-07T00:00:00"/>
    <s v="DP2E132"/>
    <s v="ODUMOSU MCCLURE"/>
    <s v="Odumosu Mcclure"/>
    <s v="Omcclure@gmail.com"/>
    <x v="0"/>
    <s v="PVC2023154"/>
    <s v="Standard"/>
    <x v="7"/>
    <x v="0"/>
    <x v="7"/>
    <x v="0"/>
    <n v="138471"/>
  </r>
  <r>
    <x v="10"/>
    <d v="2022-11-07T00:00:00"/>
    <s v="DP3Z394"/>
    <s v="HIROKO PANOVSKY"/>
    <s v="Hiroko Panovsky"/>
    <s v="Hpanovsky@ymail.com"/>
    <x v="0"/>
    <s v="PVC2023182"/>
    <s v="Standard"/>
    <x v="2"/>
    <x v="0"/>
    <x v="0"/>
    <x v="3"/>
    <n v="155684"/>
  </r>
  <r>
    <x v="10"/>
    <d v="2022-11-08T00:00:00"/>
    <s v="DP3P386"/>
    <s v="FEMI JORDAN"/>
    <s v="Femi Jordan"/>
    <s v="Fjordan@coriftech.com"/>
    <x v="1"/>
    <s v="PVC2023132"/>
    <s v="Standard"/>
    <x v="21"/>
    <x v="1"/>
    <x v="7"/>
    <x v="1"/>
    <n v="96700"/>
  </r>
  <r>
    <x v="10"/>
    <d v="2022-11-08T00:00:00"/>
    <s v="DP3N519"/>
    <s v="ADEBOLA EZICHI"/>
    <s v="Adebola Ezichi"/>
    <s v="Aezichi@gmail.com"/>
    <x v="1"/>
    <s v="PVC2023194"/>
    <s v="Standard"/>
    <x v="22"/>
    <x v="2"/>
    <x v="1"/>
    <x v="1"/>
    <n v="172323"/>
  </r>
  <r>
    <x v="10"/>
    <d v="2022-11-09T00:00:00"/>
    <s v="DP3S524"/>
    <s v="OLUDAISI JOHNSON"/>
    <s v="Oludaisi Johnson"/>
    <s v="Ojohnson@coriftech.com"/>
    <x v="1"/>
    <s v="PVC2023122"/>
    <s v="Gold"/>
    <x v="32"/>
    <x v="0"/>
    <x v="7"/>
    <x v="3"/>
    <n v="61502"/>
  </r>
  <r>
    <x v="10"/>
    <d v="2022-11-10T00:00:00"/>
    <s v="DP2R253"/>
    <s v="ROBERT JONES"/>
    <s v="Robert Jones"/>
    <s v="Rjones@gmail.com"/>
    <x v="1"/>
    <s v="PVC2023140"/>
    <s v="Standard"/>
    <x v="41"/>
    <x v="0"/>
    <x v="7"/>
    <x v="0"/>
    <n v="169798"/>
  </r>
  <r>
    <x v="10"/>
    <d v="2022-11-11T00:00:00"/>
    <s v="DP2G242"/>
    <s v="GWENDOLYN APPLE"/>
    <s v="Gwendolyn Apple"/>
    <s v="Gapple@ymail.com"/>
    <x v="0"/>
    <s v="PVC2023167"/>
    <s v="Premium"/>
    <x v="0"/>
    <x v="0"/>
    <x v="0"/>
    <x v="4"/>
    <n v="154439"/>
  </r>
  <r>
    <x v="10"/>
    <d v="2022-11-11T00:00:00"/>
    <s v="DP2Q225"/>
    <s v="EBUKA MERCER"/>
    <s v="Ebuka Mercer"/>
    <s v="Emercer@ymail.com"/>
    <x v="1"/>
    <s v="PVC2023159"/>
    <s v="Standard"/>
    <x v="39"/>
    <x v="2"/>
    <x v="7"/>
    <x v="3"/>
    <n v="30890"/>
  </r>
  <r>
    <x v="10"/>
    <d v="2022-11-12T00:00:00"/>
    <s v="DP2O223"/>
    <s v="ADELEKE FITZPATRICK"/>
    <s v="Adeleke Fitzpatrick"/>
    <s v="Afitzpatrick@gmail.com"/>
    <x v="0"/>
    <s v="PVC2023148"/>
    <s v="Standard"/>
    <x v="2"/>
    <x v="0"/>
    <x v="9"/>
    <x v="1"/>
    <n v="46310"/>
  </r>
  <r>
    <x v="10"/>
    <d v="2022-11-13T00:00:00"/>
    <s v="DP3V311"/>
    <s v="PETRA PANOVSKY"/>
    <s v="Petra Panovsky"/>
    <s v="Ppanovsky@coriftech.com"/>
    <x v="1"/>
    <s v="PVC2023146"/>
    <s v="Standard"/>
    <x v="2"/>
    <x v="0"/>
    <x v="9"/>
    <x v="1"/>
    <n v="53967"/>
  </r>
  <r>
    <x v="10"/>
    <d v="2022-11-16T00:00:00"/>
    <s v="DP3K543"/>
    <s v="NELL YANCER"/>
    <s v="Nell Yancer"/>
    <s v="Nyancer@gmail.com"/>
    <x v="1"/>
    <s v="PVC2023129"/>
    <s v="Gold"/>
    <x v="26"/>
    <x v="2"/>
    <x v="6"/>
    <x v="3"/>
    <n v="91336"/>
  </r>
  <r>
    <x v="10"/>
    <d v="2022-11-16T00:00:00"/>
    <s v="DP3A587"/>
    <s v="ADENIYI CHANG"/>
    <s v="Adeniyi Chang"/>
    <s v="Achang@gmail.com"/>
    <x v="1"/>
    <s v="PVC2023110"/>
    <s v="Premium"/>
    <x v="19"/>
    <x v="1"/>
    <x v="0"/>
    <x v="3"/>
    <n v="158328"/>
  </r>
  <r>
    <x v="10"/>
    <d v="2022-11-17T00:00:00"/>
    <s v="DP3I433"/>
    <s v="ADENIYI MCCONNELL"/>
    <s v="Adeniyi Mcconnell"/>
    <s v="Amcconnell@coriftech.com"/>
    <x v="1"/>
    <s v="PVC2023168"/>
    <s v="Standard"/>
    <x v="38"/>
    <x v="2"/>
    <x v="0"/>
    <x v="3"/>
    <n v="131046"/>
  </r>
  <r>
    <x v="10"/>
    <d v="2022-11-17T00:00:00"/>
    <s v="DP2Z286"/>
    <s v="JOY CALLISTUS"/>
    <s v="Joy Callistus"/>
    <s v="Jcallistus@gmail.com"/>
    <x v="1"/>
    <s v="PVC2023156"/>
    <s v="Standard"/>
    <x v="12"/>
    <x v="2"/>
    <x v="4"/>
    <x v="2"/>
    <n v="9637"/>
  </r>
  <r>
    <x v="10"/>
    <d v="2022-11-17T00:00:00"/>
    <s v="DP3O574"/>
    <s v="SAHEED WARNER"/>
    <s v="Saheed Warner"/>
    <s v="Swarner@gmail.com"/>
    <x v="1"/>
    <s v="PVC2023151"/>
    <s v="Gold"/>
    <x v="1"/>
    <x v="1"/>
    <x v="4"/>
    <x v="4"/>
    <n v="155478"/>
  </r>
  <r>
    <x v="10"/>
    <d v="2022-11-18T00:00:00"/>
    <s v="DP3G593"/>
    <s v="EBUKA MERCER"/>
    <s v="Ebuka Mercer"/>
    <s v="Emercer@ymail.com"/>
    <x v="1"/>
    <s v="PVC2023159"/>
    <s v="Standard"/>
    <x v="39"/>
    <x v="2"/>
    <x v="2"/>
    <x v="2"/>
    <n v="162033"/>
  </r>
  <r>
    <x v="10"/>
    <d v="2022-11-18T00:00:00"/>
    <s v="DP2J110"/>
    <s v="EHINDERO MATT"/>
    <s v="Ehindero Matt"/>
    <s v="Ematt@gmail.com"/>
    <x v="0"/>
    <s v="PVC2023104"/>
    <s v="Standard"/>
    <x v="10"/>
    <x v="3"/>
    <x v="4"/>
    <x v="0"/>
    <n v="28895"/>
  </r>
  <r>
    <x v="10"/>
    <d v="2022-11-19T00:00:00"/>
    <s v="DP3M437"/>
    <s v="TOYIN MICHEAL"/>
    <s v="Toyin Micheal"/>
    <s v="Tmicheal@coriftech.com"/>
    <x v="0"/>
    <s v="PVC2023188"/>
    <s v="Standard"/>
    <x v="24"/>
    <x v="0"/>
    <x v="9"/>
    <x v="3"/>
    <n v="16185"/>
  </r>
  <r>
    <x v="10"/>
    <d v="2022-11-19T00:00:00"/>
    <s v="DP3M491"/>
    <s v="PAUL FERRIS"/>
    <s v="Paul Ferris"/>
    <s v="Pferris@gmail.com"/>
    <x v="1"/>
    <s v="PVC2023181"/>
    <s v="Premium"/>
    <x v="4"/>
    <x v="0"/>
    <x v="4"/>
    <x v="4"/>
    <n v="43836"/>
  </r>
  <r>
    <x v="10"/>
    <d v="2022-11-19T00:00:00"/>
    <s v="DP2B129"/>
    <s v="JELANI MCKINNEY"/>
    <s v="Jelani Mckinney"/>
    <s v="Jmckinney@coriftech.com"/>
    <x v="1"/>
    <s v="PVC2023107"/>
    <s v="Gold"/>
    <x v="13"/>
    <x v="2"/>
    <x v="0"/>
    <x v="2"/>
    <n v="74810"/>
  </r>
  <r>
    <x v="10"/>
    <d v="2022-11-23T00:00:00"/>
    <s v="DP3C400"/>
    <s v="AGEMO BARNES"/>
    <s v="Agemo Barnes"/>
    <s v="Abarnes@gmail.com"/>
    <x v="1"/>
    <s v="PVC2023136"/>
    <s v="Premium"/>
    <x v="17"/>
    <x v="0"/>
    <x v="0"/>
    <x v="0"/>
    <n v="47711"/>
  </r>
  <r>
    <x v="10"/>
    <d v="2022-11-23T00:00:00"/>
    <s v="DP2T228"/>
    <s v="ODUMOSU DUKE"/>
    <s v="Odumosu Duke"/>
    <s v="Oduke@coriftech.com"/>
    <x v="0"/>
    <s v="PVC2023108"/>
    <s v="Standard"/>
    <x v="4"/>
    <x v="0"/>
    <x v="5"/>
    <x v="4"/>
    <n v="36666"/>
  </r>
  <r>
    <x v="10"/>
    <d v="2022-11-24T00:00:00"/>
    <s v="DP3J488"/>
    <s v="DEACON COBB"/>
    <s v="Deacon Cobb"/>
    <s v="Dcobb@coriftech.com"/>
    <x v="0"/>
    <s v="PVC2023102"/>
    <s v="Gold"/>
    <x v="11"/>
    <x v="2"/>
    <x v="4"/>
    <x v="3"/>
    <n v="167085"/>
  </r>
  <r>
    <x v="10"/>
    <d v="2022-11-24T00:00:00"/>
    <s v="DP2H108"/>
    <s v="SAWYER HERRIOT"/>
    <s v="Sawyer Herriot"/>
    <s v="Sherriot@gmail.com"/>
    <x v="0"/>
    <s v="PVC2023155"/>
    <s v="Standard"/>
    <x v="23"/>
    <x v="2"/>
    <x v="7"/>
    <x v="1"/>
    <n v="6287"/>
  </r>
  <r>
    <x v="10"/>
    <d v="2022-11-25T00:00:00"/>
    <s v="DP3D590"/>
    <s v="AYO VANG"/>
    <s v="Ayo Vang"/>
    <s v="Avang@coriftech.com"/>
    <x v="0"/>
    <s v="PVC2023199"/>
    <s v="Standard"/>
    <x v="33"/>
    <x v="0"/>
    <x v="6"/>
    <x v="4"/>
    <n v="113305"/>
  </r>
  <r>
    <x v="10"/>
    <d v="2022-11-25T00:00:00"/>
    <s v="DP3H378"/>
    <s v="JELANI MCKINNEY"/>
    <s v="Jelani Mckinney"/>
    <s v="Jmckinney@coriftech.com"/>
    <x v="1"/>
    <s v="PVC2023107"/>
    <s v="Gold"/>
    <x v="13"/>
    <x v="2"/>
    <x v="0"/>
    <x v="0"/>
    <n v="109351"/>
  </r>
  <r>
    <x v="10"/>
    <d v="2022-11-28T00:00:00"/>
    <s v="DP3R307"/>
    <s v="ADEBOLA SOLIS"/>
    <s v="Adebola Solis"/>
    <s v="Asolis@ymail.com"/>
    <x v="1"/>
    <s v="PVC2023124"/>
    <s v="Standard"/>
    <x v="26"/>
    <x v="2"/>
    <x v="0"/>
    <x v="3"/>
    <n v="84576"/>
  </r>
  <r>
    <x v="10"/>
    <d v="2022-11-30T00:00:00"/>
    <s v="DP3Z502"/>
    <s v="FASINU ADAMS"/>
    <s v="Fasinu Adams"/>
    <s v="Fadams@ymail.com"/>
    <x v="0"/>
    <s v="PVC2023172"/>
    <s v="Standard"/>
    <x v="37"/>
    <x v="0"/>
    <x v="7"/>
    <x v="3"/>
    <n v="136543"/>
  </r>
  <r>
    <x v="11"/>
    <d v="2022-12-01T00:00:00"/>
    <s v="DP2Y234"/>
    <s v="FASINU GUZZO"/>
    <s v="Fasinu Guzzo"/>
    <s v="Fguzzo@ymail.com"/>
    <x v="0"/>
    <s v="PVC2023153"/>
    <s v="Standard"/>
    <x v="3"/>
    <x v="1"/>
    <x v="9"/>
    <x v="0"/>
    <n v="49248"/>
  </r>
  <r>
    <x v="11"/>
    <d v="2022-12-02T00:00:00"/>
    <s v="DP2G215"/>
    <s v="EBUKA MERCER"/>
    <s v="Ebuka Mercer"/>
    <s v="Emercer@ymail.com"/>
    <x v="1"/>
    <s v="PVC2023159"/>
    <s v="Standard"/>
    <x v="39"/>
    <x v="2"/>
    <x v="0"/>
    <x v="0"/>
    <n v="111801"/>
  </r>
  <r>
    <x v="11"/>
    <d v="2022-12-02T00:00:00"/>
    <s v="DP3L328"/>
    <s v="AMERY JACOB"/>
    <s v="Amery Jacob"/>
    <s v="Ajacob@ymail.com"/>
    <x v="0"/>
    <s v="PVC2023142"/>
    <s v="Gold"/>
    <x v="36"/>
    <x v="2"/>
    <x v="7"/>
    <x v="3"/>
    <n v="130234"/>
  </r>
  <r>
    <x v="11"/>
    <d v="2022-12-04T00:00:00"/>
    <s v="DP3G377"/>
    <s v="LEONARD GILBERT"/>
    <s v="Leonard Gilbert"/>
    <s v="Lgilbert@coriftech.com"/>
    <x v="0"/>
    <s v="PVC2023186"/>
    <s v="Standard"/>
    <x v="28"/>
    <x v="2"/>
    <x v="3"/>
    <x v="1"/>
    <n v="188994"/>
  </r>
  <r>
    <x v="11"/>
    <d v="2022-12-04T00:00:00"/>
    <s v="DP3U445"/>
    <s v="ADENIYI TILLMAN"/>
    <s v="Adeniyi Tillman"/>
    <s v="Atillman@ymail.com"/>
    <x v="0"/>
    <s v="PVC2023119"/>
    <s v="Gold"/>
    <x v="27"/>
    <x v="1"/>
    <x v="5"/>
    <x v="4"/>
    <n v="68008"/>
  </r>
  <r>
    <x v="11"/>
    <d v="2022-12-05T00:00:00"/>
    <s v="DP2O115"/>
    <s v="INGRID BURRIS"/>
    <s v="Ingrid Burris"/>
    <s v="Iburris@coriftech.com"/>
    <x v="1"/>
    <s v="PVC2023128"/>
    <s v="Gold"/>
    <x v="37"/>
    <x v="0"/>
    <x v="7"/>
    <x v="4"/>
    <n v="56139"/>
  </r>
  <r>
    <x v="11"/>
    <d v="2022-12-07T00:00:00"/>
    <s v="DP3R388"/>
    <s v="NOEL MACK"/>
    <s v="Noel Mack"/>
    <s v="Nmack@gmail.com"/>
    <x v="0"/>
    <s v="PVC2023139"/>
    <s v="Gold"/>
    <x v="15"/>
    <x v="1"/>
    <x v="0"/>
    <x v="1"/>
    <n v="133114"/>
  </r>
  <r>
    <x v="11"/>
    <d v="2022-12-07T00:00:00"/>
    <s v="DP2P170"/>
    <s v="ROBERT JONES"/>
    <s v="Robert Jones"/>
    <s v="Rjones@gmail.com"/>
    <x v="1"/>
    <s v="PVC2023140"/>
    <s v="Standard"/>
    <x v="41"/>
    <x v="0"/>
    <x v="7"/>
    <x v="1"/>
    <n v="49059"/>
  </r>
  <r>
    <x v="11"/>
    <d v="2022-12-07T00:00:00"/>
    <s v="DP2Q279"/>
    <s v="URIEL ADAMS"/>
    <s v="Uriel Adams"/>
    <s v="Uadams@gmail.com"/>
    <x v="1"/>
    <s v="PVC2023169"/>
    <s v="Standard"/>
    <x v="4"/>
    <x v="0"/>
    <x v="4"/>
    <x v="4"/>
    <n v="54170"/>
  </r>
  <r>
    <x v="11"/>
    <d v="2022-12-07T00:00:00"/>
    <s v="DP3D563"/>
    <s v="JELANI MCKINNEY"/>
    <s v="Jelani Mckinney"/>
    <s v="Jmckinney@coriftech.com"/>
    <x v="1"/>
    <s v="PVC2023107"/>
    <s v="Gold"/>
    <x v="13"/>
    <x v="2"/>
    <x v="5"/>
    <x v="4"/>
    <n v="21354"/>
  </r>
  <r>
    <x v="11"/>
    <d v="2022-12-07T00:00:00"/>
    <s v="DP3Z583"/>
    <s v="LESLY PORTER"/>
    <s v="Lesly Porter"/>
    <s v="Lporter@gmail.com"/>
    <x v="1"/>
    <s v="PVC2023137"/>
    <s v="Gold"/>
    <x v="21"/>
    <x v="1"/>
    <x v="4"/>
    <x v="1"/>
    <n v="160844"/>
  </r>
  <r>
    <x v="11"/>
    <d v="2022-12-07T00:00:00"/>
    <s v="DP3B318"/>
    <s v="URSULA MADDOX"/>
    <s v="Ursula Maddox"/>
    <s v="Umaddox@gmail.com"/>
    <x v="0"/>
    <s v="PVC2023166"/>
    <s v="Standard"/>
    <x v="0"/>
    <x v="0"/>
    <x v="3"/>
    <x v="3"/>
    <n v="187565"/>
  </r>
  <r>
    <x v="11"/>
    <d v="2022-12-08T00:00:00"/>
    <s v="DP2K246"/>
    <s v="TOYIN DOUGLAS"/>
    <s v="Toyin Douglas"/>
    <s v="Tdouglas@gmail.com"/>
    <x v="1"/>
    <s v="PVC2023160"/>
    <s v="Standard"/>
    <x v="37"/>
    <x v="0"/>
    <x v="4"/>
    <x v="4"/>
    <n v="62835"/>
  </r>
  <r>
    <x v="11"/>
    <d v="2022-12-08T00:00:00"/>
    <s v="DP2A290"/>
    <s v="OPRAH ROD"/>
    <s v="Oprah Rod"/>
    <s v="Orod@coriftech.com"/>
    <x v="1"/>
    <s v="PVC2023192"/>
    <s v="Standard"/>
    <x v="36"/>
    <x v="2"/>
    <x v="0"/>
    <x v="3"/>
    <n v="123724"/>
  </r>
  <r>
    <x v="11"/>
    <d v="2022-12-08T00:00:00"/>
    <s v="DP2P278"/>
    <s v="CELESTE MILLER"/>
    <s v="Celeste Miller"/>
    <s v="Cmiller@gmail.com"/>
    <x v="1"/>
    <s v="PVC2023138"/>
    <s v="Premium"/>
    <x v="20"/>
    <x v="1"/>
    <x v="5"/>
    <x v="4"/>
    <n v="143595"/>
  </r>
  <r>
    <x v="11"/>
    <d v="2022-12-08T00:00:00"/>
    <s v="DP2L139"/>
    <s v="FORREST FELIX"/>
    <s v="Forrest Felix"/>
    <s v="Ffelix@coriftech.com"/>
    <x v="1"/>
    <s v="PVC2023145"/>
    <s v="Standard"/>
    <x v="34"/>
    <x v="1"/>
    <x v="1"/>
    <x v="3"/>
    <n v="30953"/>
  </r>
  <r>
    <x v="11"/>
    <d v="2022-12-09T00:00:00"/>
    <s v="DP3V581"/>
    <s v="PETER DIXON"/>
    <s v="Peter Dixon"/>
    <s v="Pdixon@gmail.com"/>
    <x v="1"/>
    <s v="PVC2023152"/>
    <s v="Standard"/>
    <x v="23"/>
    <x v="2"/>
    <x v="0"/>
    <x v="0"/>
    <n v="45505"/>
  </r>
  <r>
    <x v="11"/>
    <d v="2022-12-10T00:00:00"/>
    <s v="DP2Z181"/>
    <s v="EMERSON PANOVSKY"/>
    <s v="Emerson Panovsky"/>
    <s v="Epanovsky@gmail.com"/>
    <x v="1"/>
    <s v="PVC2023198"/>
    <s v="Gold"/>
    <x v="10"/>
    <x v="3"/>
    <x v="7"/>
    <x v="0"/>
    <n v="15162"/>
  </r>
  <r>
    <x v="11"/>
    <d v="2022-12-12T00:00:00"/>
    <s v="DP2A263"/>
    <s v="BELL JUAREZ"/>
    <s v="Bell Juarez"/>
    <s v="Bjuarez@coriftech.com"/>
    <x v="0"/>
    <s v="PVC2023173"/>
    <s v="Gold"/>
    <x v="8"/>
    <x v="1"/>
    <x v="4"/>
    <x v="1"/>
    <n v="131999"/>
  </r>
  <r>
    <x v="11"/>
    <d v="2022-12-12T00:00:00"/>
    <s v="DP2V284"/>
    <s v="AKANTEYON WILLIAMS"/>
    <s v="Akanteyon Williams"/>
    <s v="Awilliams@coriftech.com"/>
    <x v="1"/>
    <s v="PVC2023163"/>
    <s v="Gold"/>
    <x v="14"/>
    <x v="2"/>
    <x v="2"/>
    <x v="4"/>
    <n v="21023"/>
  </r>
  <r>
    <x v="11"/>
    <d v="2022-12-12T00:00:00"/>
    <s v="DP3W501"/>
    <s v="ADEBOLA SOLIS"/>
    <s v="Adebola Solis"/>
    <s v="Asolis@ymail.com"/>
    <x v="1"/>
    <s v="PVC2023124"/>
    <s v="Standard"/>
    <x v="26"/>
    <x v="2"/>
    <x v="0"/>
    <x v="2"/>
    <n v="89774"/>
  </r>
  <r>
    <x v="11"/>
    <d v="2022-12-12T00:00:00"/>
    <s v="DP3V338"/>
    <s v="TOYIN MICHEAL"/>
    <s v="Toyin Micheal"/>
    <s v="Tmicheal@coriftech.com"/>
    <x v="0"/>
    <s v="PVC2023188"/>
    <s v="Standard"/>
    <x v="24"/>
    <x v="0"/>
    <x v="9"/>
    <x v="0"/>
    <n v="21897"/>
  </r>
  <r>
    <x v="11"/>
    <d v="2022-12-14T00:00:00"/>
    <s v="DP2K300"/>
    <s v="ATHENA MACDONALD"/>
    <s v="Athena Macdonald"/>
    <s v="Amacdonald@gmail.com"/>
    <x v="0"/>
    <s v="PVC2023150"/>
    <s v="Gold"/>
    <x v="26"/>
    <x v="2"/>
    <x v="2"/>
    <x v="3"/>
    <n v="12930"/>
  </r>
  <r>
    <x v="11"/>
    <d v="2022-12-15T00:00:00"/>
    <s v="DP3L355"/>
    <s v="OLAOGUN GILBERT"/>
    <s v="Olaogun Gilbert"/>
    <s v="Ogilbert@gmail.com"/>
    <x v="0"/>
    <s v="PVC2023179"/>
    <s v="Standard"/>
    <x v="5"/>
    <x v="2"/>
    <x v="5"/>
    <x v="4"/>
    <n v="80681"/>
  </r>
  <r>
    <x v="11"/>
    <d v="2022-12-15T00:00:00"/>
    <s v="DP3P467"/>
    <s v="ISAAC MATT"/>
    <s v="Isaac Matt"/>
    <s v="Imatt@gmail.com"/>
    <x v="0"/>
    <s v="PVC2023158"/>
    <s v="Gold"/>
    <x v="42"/>
    <x v="1"/>
    <x v="7"/>
    <x v="0"/>
    <n v="58316"/>
  </r>
  <r>
    <x v="11"/>
    <d v="2022-12-16T00:00:00"/>
    <s v="DP3N492"/>
    <s v="HIROKO PANOVSKY"/>
    <s v="Hiroko Panovsky"/>
    <s v="Hpanovsky@ymail.com"/>
    <x v="0"/>
    <s v="PVC2023182"/>
    <s v="Standard"/>
    <x v="2"/>
    <x v="0"/>
    <x v="6"/>
    <x v="1"/>
    <n v="156416"/>
  </r>
  <r>
    <x v="11"/>
    <d v="2022-12-16T00:00:00"/>
    <s v="DP3I487"/>
    <s v="ADENIYI WEAVER"/>
    <s v="Adeniyi Weaver"/>
    <s v="Aweaver@ymail.com"/>
    <x v="0"/>
    <s v="PVC2023105"/>
    <s v="Gold"/>
    <x v="29"/>
    <x v="2"/>
    <x v="8"/>
    <x v="2"/>
    <n v="111217"/>
  </r>
  <r>
    <x v="11"/>
    <d v="2022-12-17T00:00:00"/>
    <s v="DP3E591"/>
    <s v="ODUMOSU DUKE"/>
    <s v="Odumosu Duke"/>
    <s v="Oduke@coriftech.com"/>
    <x v="0"/>
    <s v="PVC2023108"/>
    <s v="Standard"/>
    <x v="4"/>
    <x v="0"/>
    <x v="4"/>
    <x v="1"/>
    <n v="109269"/>
  </r>
  <r>
    <x v="11"/>
    <d v="2022-12-18T00:00:00"/>
    <s v="DP3M518"/>
    <s v="RHONA MITCHELL"/>
    <s v="Rhona Mitchell"/>
    <s v="Rmitchell@gmail.com"/>
    <x v="1"/>
    <s v="PVC2023141"/>
    <s v="Premium"/>
    <x v="1"/>
    <x v="1"/>
    <x v="4"/>
    <x v="3"/>
    <n v="165640"/>
  </r>
  <r>
    <x v="11"/>
    <d v="2022-12-19T00:00:00"/>
    <s v="DP2C130"/>
    <s v="LIBERTY BARNETT"/>
    <s v="Liberty Barnett"/>
    <s v="Lbarnett@gmail.com"/>
    <x v="0"/>
    <s v="PVC2023103"/>
    <s v="Standard"/>
    <x v="29"/>
    <x v="2"/>
    <x v="7"/>
    <x v="3"/>
    <n v="111154"/>
  </r>
  <r>
    <x v="11"/>
    <d v="2022-12-21T00:00:00"/>
    <s v="DP3R496"/>
    <s v="ADENIYI TILLMAN"/>
    <s v="Adeniyi Tillman"/>
    <s v="Atillman@ymail.com"/>
    <x v="0"/>
    <s v="PVC2023119"/>
    <s v="Gold"/>
    <x v="27"/>
    <x v="1"/>
    <x v="2"/>
    <x v="4"/>
    <n v="30887"/>
  </r>
  <r>
    <x v="11"/>
    <d v="2022-12-22T00:00:00"/>
    <s v="DP3Y369"/>
    <s v="BAMIDELE ALEXANDER"/>
    <s v="Bamidele Alexander"/>
    <s v="Balexander@ymail.com"/>
    <x v="0"/>
    <s v="PVC2023113"/>
    <s v="Premium"/>
    <x v="3"/>
    <x v="1"/>
    <x v="9"/>
    <x v="3"/>
    <n v="188465"/>
  </r>
  <r>
    <x v="11"/>
    <d v="2022-12-22T00:00:00"/>
    <s v="DP3O412"/>
    <s v="WINIFRED OGBONNA"/>
    <s v="Winifred Ogbonna"/>
    <s v="Wogbonna@ymail.com"/>
    <x v="1"/>
    <s v="PVC2023149"/>
    <s v="Premium"/>
    <x v="43"/>
    <x v="1"/>
    <x v="4"/>
    <x v="1"/>
    <n v="124486"/>
  </r>
  <r>
    <x v="11"/>
    <d v="2022-12-23T00:00:00"/>
    <s v="DP2D239"/>
    <s v="ATHENA MACDONALD"/>
    <s v="Athena Macdonald"/>
    <s v="Amacdonald@gmail.com"/>
    <x v="0"/>
    <s v="PVC2023150"/>
    <s v="Gold"/>
    <x v="26"/>
    <x v="2"/>
    <x v="7"/>
    <x v="2"/>
    <n v="64498"/>
  </r>
  <r>
    <x v="11"/>
    <d v="2022-12-23T00:00:00"/>
    <s v="DP2V257"/>
    <s v="OLAOGUN GILBERT"/>
    <s v="Olaogun Gilbert"/>
    <s v="Ogilbert@gmail.com"/>
    <x v="0"/>
    <s v="PVC2023179"/>
    <s v="Standard"/>
    <x v="5"/>
    <x v="2"/>
    <x v="8"/>
    <x v="3"/>
    <n v="11844"/>
  </r>
  <r>
    <x v="11"/>
    <d v="2022-12-24T00:00:00"/>
    <s v="DP3S389"/>
    <s v="ADEBOLA SOLIS"/>
    <s v="Adebola Solis"/>
    <s v="Asolis@ymail.com"/>
    <x v="1"/>
    <s v="PVC2023124"/>
    <s v="Standard"/>
    <x v="26"/>
    <x v="2"/>
    <x v="5"/>
    <x v="4"/>
    <n v="134882"/>
  </r>
  <r>
    <x v="11"/>
    <d v="2022-12-25T00:00:00"/>
    <s v="DP3L571"/>
    <s v="OLAOGUN KIDD"/>
    <s v="Olaogun Kidd"/>
    <s v="Okidd@gmail.com"/>
    <x v="0"/>
    <s v="PVC2023134"/>
    <s v="Premium"/>
    <x v="21"/>
    <x v="1"/>
    <x v="4"/>
    <x v="3"/>
    <n v="72529"/>
  </r>
  <r>
    <x v="11"/>
    <d v="2022-12-26T00:00:00"/>
    <s v="DP2H135"/>
    <s v="TEMILADE KNAPP"/>
    <s v="Temilade Knapp"/>
    <s v="Tknapp@ymail.com"/>
    <x v="1"/>
    <s v="PVC2023187"/>
    <s v="Premium"/>
    <x v="3"/>
    <x v="1"/>
    <x v="3"/>
    <x v="4"/>
    <n v="60880"/>
  </r>
  <r>
    <x v="11"/>
    <d v="2022-12-28T00:00:00"/>
    <s v="DP2Z262"/>
    <s v="BRITTANY BEST"/>
    <s v="Brittany Best"/>
    <s v="Bbest@gmail.com"/>
    <x v="1"/>
    <s v="PVC2023125"/>
    <s v="Premium"/>
    <x v="6"/>
    <x v="2"/>
    <x v="7"/>
    <x v="1"/>
    <n v="109818"/>
  </r>
  <r>
    <x v="11"/>
    <d v="2022-12-30T00:00:00"/>
    <s v="DP3T336"/>
    <s v="ODUMOSU DUKE"/>
    <s v="Odumosu Duke"/>
    <s v="Oduke@coriftech.com"/>
    <x v="0"/>
    <s v="PVC2023108"/>
    <s v="Standard"/>
    <x v="4"/>
    <x v="0"/>
    <x v="9"/>
    <x v="1"/>
    <n v="90688"/>
  </r>
  <r>
    <x v="11"/>
    <d v="2022-12-31T00:00:00"/>
    <s v="DP3Y342"/>
    <s v="LESLY PORTER"/>
    <s v="Lesly Porter"/>
    <s v="Lporter@gmail.com"/>
    <x v="1"/>
    <s v="PVC2023137"/>
    <s v="Gold"/>
    <x v="21"/>
    <x v="1"/>
    <x v="8"/>
    <x v="0"/>
    <n v="118571"/>
  </r>
  <r>
    <x v="11"/>
    <d v="2022-12-31T00:00:00"/>
    <s v="DP2Z154"/>
    <s v="ADENIYI TILLMAN"/>
    <s v="Adeniyi Tillman"/>
    <s v="Atillman@ymail.com"/>
    <x v="0"/>
    <s v="PVC2023119"/>
    <s v="Gold"/>
    <x v="27"/>
    <x v="1"/>
    <x v="1"/>
    <x v="3"/>
    <n v="1797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8">
  <r>
    <d v="2022-01-01T00:00:00"/>
    <s v="DP3A344"/>
    <s v="Ursula Maddox"/>
    <s v="Umaddox@gmail.com"/>
    <s v="Male"/>
    <s v="PVC2023166"/>
    <s v="Standard"/>
    <n v="41"/>
    <s v="FIRST BANK"/>
    <x v="0"/>
  </r>
  <r>
    <d v="2022-01-01T00:00:00"/>
    <s v="DP3T417"/>
    <s v="Rhona Mitchell"/>
    <s v="Rmitchell@gmail.com"/>
    <s v="Female"/>
    <s v="PVC2023141"/>
    <s v="Premium"/>
    <n v="72"/>
    <s v="STANDARD CHARTERED"/>
    <x v="1"/>
  </r>
  <r>
    <d v="2022-01-03T00:00:00"/>
    <s v="DP2A236"/>
    <s v="Oludoye Weber"/>
    <s v="Oweber@ymail.com"/>
    <s v="Female"/>
    <s v="PVC2023196"/>
    <s v="Gold"/>
    <n v="59"/>
    <s v="ACCESS BANK"/>
    <x v="2"/>
  </r>
  <r>
    <d v="2022-01-03T00:00:00"/>
    <s v="DP2G296"/>
    <s v="Bamidele Alexander"/>
    <s v="Balexander@ymail.com"/>
    <s v="Male"/>
    <s v="PVC2023113"/>
    <s v="Premium"/>
    <n v="61"/>
    <s v="FIDELITY BANK"/>
    <x v="0"/>
  </r>
  <r>
    <d v="2022-01-03T00:00:00"/>
    <s v="DP3T390"/>
    <s v="Uriel Adams"/>
    <s v="Uadams@gmail.com"/>
    <s v="Female"/>
    <s v="PVC2023169"/>
    <s v="Standard"/>
    <n v="48"/>
    <s v="UNITED BANK FOR AFRICA"/>
    <x v="0"/>
  </r>
  <r>
    <d v="2022-01-03T00:00:00"/>
    <s v="DP3N384"/>
    <s v="Olaogun Gilbert"/>
    <s v="Ogilbert@gmail.com"/>
    <s v="Male"/>
    <s v="PVC2023179"/>
    <s v="Standard"/>
    <n v="22"/>
    <s v="UNITED BANK FOR AFRICA"/>
    <x v="3"/>
  </r>
  <r>
    <d v="2022-01-04T00:00:00"/>
    <s v="DP2T147"/>
    <s v="Fasinu Guzzo"/>
    <s v="Fguzzo@ymail.com"/>
    <s v="Male"/>
    <s v="PVC2023153"/>
    <s v="Standard"/>
    <n v="61"/>
    <s v="ZENITH BANK"/>
    <x v="0"/>
  </r>
  <r>
    <d v="2022-01-05T00:00:00"/>
    <s v="DP2P116"/>
    <s v="Brittany Best"/>
    <s v="Bbest@gmail.com"/>
    <s v="Female"/>
    <s v="PVC2023125"/>
    <s v="Premium"/>
    <n v="28"/>
    <s v="WEMA BANK"/>
    <x v="3"/>
  </r>
  <r>
    <d v="2022-01-06T00:00:00"/>
    <s v="DP2M113"/>
    <s v="Odumosu Duke"/>
    <s v="Oduke@coriftech.com"/>
    <s v="Male"/>
    <s v="PVC2023108"/>
    <s v="Standard"/>
    <n v="48"/>
    <s v="FIRST BANK"/>
    <x v="4"/>
  </r>
  <r>
    <d v="2022-01-06T00:00:00"/>
    <s v="DP2E267"/>
    <s v="Odumosu Mcclure"/>
    <s v="Omcclure@gmail.com"/>
    <s v="Male"/>
    <s v="PVC2023154"/>
    <s v="Standard"/>
    <n v="60"/>
    <s v="UNION BANK"/>
    <x v="2"/>
  </r>
  <r>
    <d v="2022-01-06T00:00:00"/>
    <s v="DP3U310"/>
    <s v="Bell Juarez"/>
    <s v="Bjuarez@coriftech.com"/>
    <s v="Male"/>
    <s v="PVC2023173"/>
    <s v="Gold"/>
    <n v="71"/>
    <s v="UNION BANK"/>
    <x v="2"/>
  </r>
  <r>
    <d v="2022-01-07T00:00:00"/>
    <s v="DP3K408"/>
    <s v="Ivory Selhorst"/>
    <s v="Iselhorst@coriftech.com"/>
    <s v="Female"/>
    <s v="PVC2023144"/>
    <s v="Premium"/>
    <n v="54"/>
    <s v="UNION BANK"/>
    <x v="1"/>
  </r>
  <r>
    <d v="2022-01-08T00:00:00"/>
    <s v="DP2Z235"/>
    <s v="Bell Juarez"/>
    <s v="Bjuarez@coriftech.com"/>
    <s v="Male"/>
    <s v="PVC2023173"/>
    <s v="Gold"/>
    <n v="71"/>
    <s v="WEMA BANK"/>
    <x v="0"/>
  </r>
  <r>
    <d v="2022-01-09T00:00:00"/>
    <s v="DP3E537"/>
    <s v="Emerson Panovsky"/>
    <s v="Epanovsky@gmail.com"/>
    <s v="Female"/>
    <s v="PVC2023198"/>
    <s v="Gold"/>
    <n v="19"/>
    <s v="ACCESS BANK"/>
    <x v="3"/>
  </r>
  <r>
    <d v="2022-01-09T00:00:00"/>
    <s v="DP3L490"/>
    <s v="Temilade Knapp"/>
    <s v="Tknapp@ymail.com"/>
    <s v="Female"/>
    <s v="PVC2023187"/>
    <s v="Premium"/>
    <n v="61"/>
    <s v="FIDELITY BANK"/>
    <x v="0"/>
  </r>
  <r>
    <d v="2022-01-11T00:00:00"/>
    <s v="DP2W231"/>
    <s v="Deacon Cobb"/>
    <s v="Dcobb@coriftech.com"/>
    <s v="Male"/>
    <s v="PVC2023102"/>
    <s v="Gold"/>
    <n v="30"/>
    <s v="UNION BANK"/>
    <x v="0"/>
  </r>
  <r>
    <d v="2022-01-13T00:00:00"/>
    <s v="DP3W339"/>
    <s v="Fasinu Guzzo"/>
    <s v="Fguzzo@ymail.com"/>
    <s v="Male"/>
    <s v="PVC2023153"/>
    <s v="Standard"/>
    <n v="61"/>
    <s v="ZENITH BANK"/>
    <x v="1"/>
  </r>
  <r>
    <d v="2022-01-14T00:00:00"/>
    <s v="DP3K570"/>
    <s v="Benedict Miller"/>
    <s v="Bmiller@gmail.com"/>
    <s v="Male"/>
    <s v="PVC2023118"/>
    <s v="Premium"/>
    <n v="36"/>
    <s v="UNION BANK"/>
    <x v="0"/>
  </r>
  <r>
    <d v="2022-01-14T00:00:00"/>
    <s v="DP3V392"/>
    <s v="Odumosu Duke"/>
    <s v="Oduke@coriftech.com"/>
    <s v="Male"/>
    <s v="PVC2023108"/>
    <s v="Standard"/>
    <n v="48"/>
    <s v="STANDARD CHARTERED"/>
    <x v="1"/>
  </r>
  <r>
    <d v="2022-01-15T00:00:00"/>
    <s v="DP3H567"/>
    <s v="Lani Key"/>
    <s v="Lkey@coriftech.com"/>
    <s v="Female"/>
    <s v="PVC2023130"/>
    <s v="Premium"/>
    <n v="31"/>
    <s v="STANDARD CHARTERED"/>
    <x v="3"/>
  </r>
  <r>
    <d v="2022-01-15T00:00:00"/>
    <s v="DP3X584"/>
    <s v="Bamidele Alexander"/>
    <s v="Balexander@ymail.com"/>
    <s v="Male"/>
    <s v="PVC2023113"/>
    <s v="Premium"/>
    <n v="61"/>
    <s v="UNION BANK"/>
    <x v="0"/>
  </r>
  <r>
    <d v="2022-01-17T00:00:00"/>
    <s v="DP3F511"/>
    <s v="Bell Juarez"/>
    <s v="Bjuarez@coriftech.com"/>
    <s v="Male"/>
    <s v="PVC2023173"/>
    <s v="Gold"/>
    <n v="71"/>
    <s v="ZENITH BANK"/>
    <x v="2"/>
  </r>
  <r>
    <d v="2022-01-18T00:00:00"/>
    <s v="DP2N114"/>
    <s v="Akanteyon Williams"/>
    <s v="Awilliams@coriftech.com"/>
    <s v="Female"/>
    <s v="PVC2023163"/>
    <s v="Gold"/>
    <n v="25"/>
    <s v="FIDELITY BANK"/>
    <x v="1"/>
  </r>
  <r>
    <d v="2022-01-18T00:00:00"/>
    <s v="DP2G107"/>
    <s v="Hiroko Panovsky"/>
    <s v="Hpanovsky@ymail.com"/>
    <s v="Male"/>
    <s v="PVC2023182"/>
    <s v="Standard"/>
    <n v="59"/>
    <s v="ACCESS BANK"/>
    <x v="3"/>
  </r>
  <r>
    <d v="2022-01-20T00:00:00"/>
    <s v="DP2A101"/>
    <s v="Brynne Nankam"/>
    <s v="Bnankam@coriftech.com"/>
    <s v="Male"/>
    <s v="PVC2023143"/>
    <s v="Gold"/>
    <n v="64"/>
    <s v="UNION BANK"/>
    <x v="1"/>
  </r>
  <r>
    <d v="2022-01-21T00:00:00"/>
    <s v="DP3X314"/>
    <s v="Taoheed Perkins"/>
    <s v="Tperkins@coriftech.com"/>
    <s v="Female"/>
    <s v="PVC2023176"/>
    <s v="Standard"/>
    <n v="73"/>
    <s v="WEMA BANK"/>
    <x v="0"/>
  </r>
  <r>
    <d v="2022-01-22T00:00:00"/>
    <s v="DP2D131"/>
    <s v="Hiroko Panovsky"/>
    <s v="Hpanovsky@ymail.com"/>
    <s v="Male"/>
    <s v="PVC2023182"/>
    <s v="Standard"/>
    <n v="59"/>
    <s v="FIRST BANK"/>
    <x v="1"/>
  </r>
  <r>
    <d v="2022-01-23T00:00:00"/>
    <s v="DP3T309"/>
    <s v="Agemo Barnes"/>
    <s v="Abarnes@gmail.com"/>
    <s v="Female"/>
    <s v="PVC2023136"/>
    <s v="Premium"/>
    <n v="58"/>
    <s v="ZENITH BANK"/>
    <x v="3"/>
  </r>
  <r>
    <d v="2022-01-25T00:00:00"/>
    <s v="DP2W123"/>
    <s v="Taoheed Abbott"/>
    <s v="Tabbott@coriftech.com"/>
    <s v="Male"/>
    <s v="PVC2023116"/>
    <s v="Standard"/>
    <n v="67"/>
    <s v="ACCESS BANK"/>
    <x v="1"/>
  </r>
  <r>
    <d v="2022-01-25T00:00:00"/>
    <s v="DP3T579"/>
    <s v="Bakare Andrea"/>
    <s v="Bandrea@coriftech.com"/>
    <s v="Female"/>
    <s v="PVC2023117"/>
    <s v="Gold"/>
    <n v="19"/>
    <s v="STANDARD CHARTERED"/>
    <x v="0"/>
  </r>
  <r>
    <d v="2022-01-25T00:00:00"/>
    <s v="DP3M383"/>
    <s v="Adeleke Fitzpatrick"/>
    <s v="Afitzpatrick@gmail.com"/>
    <s v="Male"/>
    <s v="PVC2023148"/>
    <s v="Standard"/>
    <n v="59"/>
    <s v="UNITED BANK FOR AFRICA"/>
    <x v="0"/>
  </r>
  <r>
    <d v="2022-01-26T00:00:00"/>
    <s v="DP3C535"/>
    <s v="Adeniyi Chang"/>
    <s v="Achang@gmail.com"/>
    <s v="Female"/>
    <s v="PVC2023110"/>
    <s v="Premium"/>
    <n v="76"/>
    <s v="FIDELITY BANK"/>
    <x v="4"/>
  </r>
  <r>
    <d v="2022-01-26T00:00:00"/>
    <s v="DP3I352"/>
    <s v="Celeste Miller"/>
    <s v="Cmiller@gmail.com"/>
    <s v="Female"/>
    <s v="PVC2023138"/>
    <s v="Premium"/>
    <n v="66"/>
    <s v="UNITED BANK FOR AFRICA"/>
    <x v="4"/>
  </r>
  <r>
    <d v="2022-01-27T00:00:00"/>
    <s v="DP2I271"/>
    <s v="Olaogun Kidd"/>
    <s v="Okidd@gmail.com"/>
    <s v="Male"/>
    <s v="PVC2023134"/>
    <s v="Premium"/>
    <n v="68"/>
    <s v="FIDELITY BANK"/>
    <x v="3"/>
  </r>
  <r>
    <d v="2022-01-27T00:00:00"/>
    <s v="DP3Q441"/>
    <s v="Adebola Ezichi"/>
    <s v="Aezichi@gmail.com"/>
    <s v="Female"/>
    <s v="PVC2023194"/>
    <s v="Standard"/>
    <n v="37"/>
    <s v="STANDARD CHARTERED"/>
    <x v="3"/>
  </r>
  <r>
    <d v="2022-01-27T00:00:00"/>
    <s v="DP3J569"/>
    <s v="Peter Dixon"/>
    <s v="Pdixon@gmail.com"/>
    <s v="Female"/>
    <s v="PVC2023152"/>
    <s v="Standard"/>
    <n v="34"/>
    <s v="UNION BANK"/>
    <x v="0"/>
  </r>
  <r>
    <d v="2022-01-28T00:00:00"/>
    <s v="DP3J380"/>
    <s v="Latifah Ogbonna"/>
    <s v="Logbonna@ymail.com"/>
    <s v="Male"/>
    <s v="PVC2023111"/>
    <s v="Premium"/>
    <n v="46"/>
    <s v="FIRST BANK"/>
    <x v="1"/>
  </r>
  <r>
    <d v="2022-01-30T00:00:00"/>
    <s v="DP3V554"/>
    <s v="Femi Jordan"/>
    <s v="Fjordan@coriftech.com"/>
    <s v="Female"/>
    <s v="PVC2023132"/>
    <s v="Standard"/>
    <n v="68"/>
    <s v="STANBIC IBTC BANK"/>
    <x v="1"/>
  </r>
  <r>
    <d v="2022-01-31T00:00:00"/>
    <s v="DP2Z259"/>
    <s v="Bell Juarez"/>
    <s v="Bjuarez@coriftech.com"/>
    <s v="Male"/>
    <s v="PVC2023173"/>
    <s v="Gold"/>
    <n v="71"/>
    <s v="UNION BANK"/>
    <x v="2"/>
  </r>
  <r>
    <d v="2022-01-31T00:00:00"/>
    <s v="DP3Z451"/>
    <s v="Mercedes Selhorst"/>
    <s v="Mselhorst@gmail.com"/>
    <s v="Female"/>
    <s v="PVC2023115"/>
    <s v="Premium"/>
    <n v="68"/>
    <s v="FIRST BANK"/>
    <x v="1"/>
  </r>
  <r>
    <d v="2022-01-31T00:00:00"/>
    <s v="DP2S254"/>
    <s v="Joy Garza"/>
    <s v="Jgarza@ymail.com"/>
    <s v="Male"/>
    <s v="PVC2023147"/>
    <s v="Premium"/>
    <n v="60"/>
    <s v="ZENITH BANK"/>
    <x v="0"/>
  </r>
  <r>
    <d v="2022-02-02T00:00:00"/>
    <s v="DP3F322"/>
    <s v="Peter Adams"/>
    <s v="Padams@coriftech.com"/>
    <s v="Male"/>
    <s v="PVC2023126"/>
    <s v="Standard"/>
    <n v="64"/>
    <s v="UNITED BANK FOR AFRICA"/>
    <x v="0"/>
  </r>
  <r>
    <d v="2022-02-03T00:00:00"/>
    <s v="DP3U526"/>
    <s v="Maite Cortez"/>
    <s v="Mcortez@coriftech.com"/>
    <s v="Female"/>
    <s v="PVC2023121"/>
    <s v="Gold"/>
    <n v="26"/>
    <s v="GTBANK PLC"/>
    <x v="2"/>
  </r>
  <r>
    <d v="2022-02-04T00:00:00"/>
    <s v="DP3W474"/>
    <s v="Athena Macdonald"/>
    <s v="Amacdonald@gmail.com"/>
    <s v="Male"/>
    <s v="PVC2023150"/>
    <s v="Gold"/>
    <n v="29"/>
    <s v="STANBIC IBTC BANK"/>
    <x v="3"/>
  </r>
  <r>
    <d v="2022-02-05T00:00:00"/>
    <s v="DP3L544"/>
    <s v="Omolara Selhorst"/>
    <s v="Oselhorst@gmail.com"/>
    <s v="Female"/>
    <s v="PVC2023178"/>
    <s v="Standard"/>
    <n v="66"/>
    <s v="FIRST BANK"/>
    <x v="1"/>
  </r>
  <r>
    <d v="2022-02-06T00:00:00"/>
    <s v="DP3O358"/>
    <s v="Joy Garza"/>
    <s v="Jgarza@ymail.com"/>
    <s v="Male"/>
    <s v="PVC2023147"/>
    <s v="Premium"/>
    <n v="60"/>
    <s v="UNION BANK"/>
    <x v="1"/>
  </r>
  <r>
    <d v="2022-02-06T00:00:00"/>
    <s v="DP2V122"/>
    <s v="Adeniyi Tillman"/>
    <s v="Atillman@ymail.com"/>
    <s v="Male"/>
    <s v="PVC2023119"/>
    <s v="Gold"/>
    <n v="63"/>
    <s v="STANBIC IBTC BANK"/>
    <x v="3"/>
  </r>
  <r>
    <d v="2022-02-07T00:00:00"/>
    <s v="DP2Z208"/>
    <s v="Maite Cortez"/>
    <s v="Mcortez@coriftech.com"/>
    <s v="Female"/>
    <s v="PVC2023121"/>
    <s v="Gold"/>
    <n v="26"/>
    <s v="ACCESS BANK"/>
    <x v="0"/>
  </r>
  <r>
    <d v="2022-02-07T00:00:00"/>
    <s v="DP3Y558"/>
    <s v="Omolara Ferris"/>
    <s v="Oferris@gmail.com"/>
    <s v="Female"/>
    <s v="PVC2023185"/>
    <s v="Standard"/>
    <n v="25"/>
    <s v="FIRST BANK"/>
    <x v="3"/>
  </r>
  <r>
    <d v="2022-02-07T00:00:00"/>
    <s v="DP3M599"/>
    <s v="Emerson Panovsky"/>
    <s v="Epanovsky@gmail.com"/>
    <s v="Female"/>
    <s v="PVC2023198"/>
    <s v="Gold"/>
    <n v="19"/>
    <s v="FIDELITY BANK"/>
    <x v="0"/>
  </r>
  <r>
    <d v="2022-02-08T00:00:00"/>
    <s v="DP2C211"/>
    <s v="Olayinka Humphrey"/>
    <s v="Ohumphrey@ymail.com"/>
    <s v="Male"/>
    <s v="PVC2023170"/>
    <s v="Standard"/>
    <n v="60"/>
    <s v="UNITED BANK FOR AFRICA"/>
    <x v="4"/>
  </r>
  <r>
    <d v="2022-02-09T00:00:00"/>
    <s v="DP2C184"/>
    <s v="Leonard Gilbert"/>
    <s v="Lgilbert@coriftech.com"/>
    <s v="Male"/>
    <s v="PVC2023186"/>
    <s v="Standard"/>
    <n v="40"/>
    <s v="ACCESS BANK"/>
    <x v="0"/>
  </r>
  <r>
    <d v="2022-02-09T00:00:00"/>
    <s v="DP2F241"/>
    <s v="Fasinu Guzzo"/>
    <s v="Fguzzo@ymail.com"/>
    <s v="Male"/>
    <s v="PVC2023153"/>
    <s v="Standard"/>
    <n v="61"/>
    <s v="STANDARD CHARTERED"/>
    <x v="3"/>
  </r>
  <r>
    <d v="2022-02-11T00:00:00"/>
    <s v="DP3Z421"/>
    <s v="Adeniyi Weaver"/>
    <s v="Aweaver@ymail.com"/>
    <s v="Male"/>
    <s v="PVC2023105"/>
    <s v="Gold"/>
    <n v="39"/>
    <s v="WEMA BANK"/>
    <x v="3"/>
  </r>
  <r>
    <d v="2022-02-11T00:00:00"/>
    <s v="DP3I514"/>
    <s v="Paul Ferris"/>
    <s v="Pferris@gmail.com"/>
    <s v="Female"/>
    <s v="PVC2023181"/>
    <s v="Premium"/>
    <n v="48"/>
    <s v="FIRST BANK"/>
    <x v="3"/>
  </r>
  <r>
    <d v="2022-02-11T00:00:00"/>
    <s v="DP2J272"/>
    <s v="Bell Juarez"/>
    <s v="Bjuarez@coriftech.com"/>
    <s v="Male"/>
    <s v="PVC2023173"/>
    <s v="Gold"/>
    <n v="71"/>
    <s v="WEMA BANK"/>
    <x v="4"/>
  </r>
  <r>
    <d v="2022-02-12T00:00:00"/>
    <s v="DP2U202"/>
    <s v="Liberty Barnett"/>
    <s v="Lbarnett@gmail.com"/>
    <s v="Male"/>
    <s v="PVC2023103"/>
    <s v="Standard"/>
    <n v="39"/>
    <s v="UNITED BANK FOR AFRICA"/>
    <x v="3"/>
  </r>
  <r>
    <d v="2022-02-12T00:00:00"/>
    <s v="DP3F592"/>
    <s v="George Clubbs"/>
    <s v="Gclubbs@coriftech.com"/>
    <s v="Female"/>
    <s v="PVC2023109"/>
    <s v="Premium"/>
    <n v="39"/>
    <s v="FIDELITY BANK"/>
    <x v="3"/>
  </r>
  <r>
    <d v="2022-02-12T00:00:00"/>
    <s v="DP3V500"/>
    <s v="Brittany Best"/>
    <s v="Bbest@gmail.com"/>
    <s v="Female"/>
    <s v="PVC2023125"/>
    <s v="Premium"/>
    <n v="28"/>
    <s v="WEMA BANK"/>
    <x v="0"/>
  </r>
  <r>
    <d v="2022-02-13T00:00:00"/>
    <s v="DP2Q171"/>
    <s v="Emerson Panovsky"/>
    <s v="Epanovsky@gmail.com"/>
    <s v="Female"/>
    <s v="PVC2023198"/>
    <s v="Gold"/>
    <n v="19"/>
    <s v="ZENITH BANK"/>
    <x v="4"/>
  </r>
  <r>
    <d v="2022-02-13T00:00:00"/>
    <s v="DP3S605"/>
    <s v="Nell Yancer"/>
    <s v="Nyancer@gmail.com"/>
    <s v="Female"/>
    <s v="PVC2023129"/>
    <s v="Gold"/>
    <n v="29"/>
    <s v="ACCESS BANK"/>
    <x v="1"/>
  </r>
  <r>
    <d v="2022-02-14T00:00:00"/>
    <s v="DP2Z151"/>
    <s v="Toyin Micheal"/>
    <s v="Tmicheal@coriftech.com"/>
    <s v="Male"/>
    <s v="PVC2023188"/>
    <s v="Standard"/>
    <n v="46"/>
    <s v="STANBIC IBTC BANK"/>
    <x v="4"/>
  </r>
  <r>
    <d v="2022-02-15T00:00:00"/>
    <s v="DP2I190"/>
    <s v="Adeniyi Tillman"/>
    <s v="Atillman@ymail.com"/>
    <s v="Male"/>
    <s v="PVC2023119"/>
    <s v="Gold"/>
    <n v="63"/>
    <s v="ZENITH BANK"/>
    <x v="0"/>
  </r>
  <r>
    <d v="2022-02-15T00:00:00"/>
    <s v="DP2Z205"/>
    <s v="Bamidele Alexander"/>
    <s v="Balexander@ymail.com"/>
    <s v="Male"/>
    <s v="PVC2023113"/>
    <s v="Premium"/>
    <n v="61"/>
    <s v="FIRST BANK"/>
    <x v="2"/>
  </r>
  <r>
    <d v="2022-02-15T00:00:00"/>
    <s v="DP3D455"/>
    <s v="Lesly Porter"/>
    <s v="Lporter@gmail.com"/>
    <s v="Female"/>
    <s v="PVC2023137"/>
    <s v="Gold"/>
    <n v="68"/>
    <s v="ACCESS BANK"/>
    <x v="3"/>
  </r>
  <r>
    <d v="2022-02-15T00:00:00"/>
    <s v="DP2M194"/>
    <s v="Agemo Barnes"/>
    <s v="Abarnes@gmail.com"/>
    <s v="Female"/>
    <s v="PVC2023136"/>
    <s v="Premium"/>
    <n v="58"/>
    <s v="FIDELITY BANK"/>
    <x v="4"/>
  </r>
  <r>
    <d v="2022-02-15T00:00:00"/>
    <s v="DP2H270"/>
    <s v="Bamidele Alexander"/>
    <s v="Balexander@ymail.com"/>
    <s v="Male"/>
    <s v="PVC2023113"/>
    <s v="Premium"/>
    <n v="61"/>
    <s v="GTBANK PLC"/>
    <x v="1"/>
  </r>
  <r>
    <d v="2022-02-15T00:00:00"/>
    <s v="DP3P440"/>
    <s v="Liberty Barnett"/>
    <s v="Lbarnett@gmail.com"/>
    <s v="Male"/>
    <s v="PVC2023103"/>
    <s v="Standard"/>
    <n v="39"/>
    <s v="FIRST BANK"/>
    <x v="1"/>
  </r>
  <r>
    <d v="2022-02-15T00:00:00"/>
    <s v="DP3Y504"/>
    <s v="Lesly Porter"/>
    <s v="Lporter@gmail.com"/>
    <s v="Female"/>
    <s v="PVC2023137"/>
    <s v="Gold"/>
    <n v="68"/>
    <s v="UNION BANK"/>
    <x v="1"/>
  </r>
  <r>
    <d v="2022-02-16T00:00:00"/>
    <s v="DP2S200"/>
    <s v="Joy Garza"/>
    <s v="Jgarza@ymail.com"/>
    <s v="Male"/>
    <s v="PVC2023147"/>
    <s v="Premium"/>
    <n v="60"/>
    <s v="STANDARD CHARTERED"/>
    <x v="1"/>
  </r>
  <r>
    <d v="2022-02-16T00:00:00"/>
    <s v="DP3S362"/>
    <s v="Aretha Perkins"/>
    <s v="Aperkins@coriftech.com"/>
    <s v="Female"/>
    <s v="PVC2023135"/>
    <s v="Standard"/>
    <n v="23"/>
    <s v="FIDELITY BANK"/>
    <x v="0"/>
  </r>
  <r>
    <d v="2022-02-17T00:00:00"/>
    <s v="DP2E186"/>
    <s v="Taoheed Perkins"/>
    <s v="Tperkins@coriftech.com"/>
    <s v="Female"/>
    <s v="PVC2023176"/>
    <s v="Standard"/>
    <n v="73"/>
    <s v="UNITED BANK FOR AFRICA"/>
    <x v="4"/>
  </r>
  <r>
    <d v="2022-02-17T00:00:00"/>
    <s v="DP3Z313"/>
    <s v="Ivory Selhorst"/>
    <s v="Iselhorst@coriftech.com"/>
    <s v="Female"/>
    <s v="PVC2023144"/>
    <s v="Premium"/>
    <n v="54"/>
    <s v="UNITED BANK FOR AFRICA"/>
    <x v="0"/>
  </r>
  <r>
    <d v="2022-02-18T00:00:00"/>
    <s v="DP3V527"/>
    <s v="Brittany Best"/>
    <s v="Bbest@gmail.com"/>
    <s v="Female"/>
    <s v="PVC2023125"/>
    <s v="Premium"/>
    <n v="28"/>
    <s v="FIRST BANK"/>
    <x v="1"/>
  </r>
  <r>
    <d v="2022-02-18T00:00:00"/>
    <s v="DP3X476"/>
    <s v="Emerson Panovsky"/>
    <s v="Epanovsky@gmail.com"/>
    <s v="Female"/>
    <s v="PVC2023198"/>
    <s v="Gold"/>
    <n v="19"/>
    <s v="UNION BANK"/>
    <x v="1"/>
  </r>
  <r>
    <d v="2022-02-19T00:00:00"/>
    <s v="DP3X341"/>
    <s v="Lesly Porter"/>
    <s v="Lporter@gmail.com"/>
    <s v="Female"/>
    <s v="PVC2023137"/>
    <s v="Gold"/>
    <n v="68"/>
    <s v="UNION BANK"/>
    <x v="4"/>
  </r>
  <r>
    <d v="2022-02-19T00:00:00"/>
    <s v="DP3M329"/>
    <s v="Lani Key"/>
    <s v="Lkey@coriftech.com"/>
    <s v="Female"/>
    <s v="PVC2023130"/>
    <s v="Premium"/>
    <n v="31"/>
    <s v="UNITED BANK FOR AFRICA"/>
    <x v="3"/>
  </r>
  <r>
    <d v="2022-02-20T00:00:00"/>
    <s v="DP2Z127"/>
    <s v="Jelani Mckinney"/>
    <s v="Jmckinney@coriftech.com"/>
    <s v="Female"/>
    <s v="PVC2023107"/>
    <s v="Gold"/>
    <n v="31"/>
    <s v="ACCESS BANK"/>
    <x v="1"/>
  </r>
  <r>
    <d v="2022-02-21T00:00:00"/>
    <s v="DP2S173"/>
    <s v="Adebola Solis"/>
    <s v="Asolis@ymail.com"/>
    <s v="Female"/>
    <s v="PVC2023124"/>
    <s v="Standard"/>
    <n v="29"/>
    <s v="STANBIC IBTC BANK"/>
    <x v="3"/>
  </r>
  <r>
    <d v="2022-02-22T00:00:00"/>
    <s v="DP3Z448"/>
    <s v="Latifah Ogbonna"/>
    <s v="Logbonna@ymail.com"/>
    <s v="Male"/>
    <s v="PVC2023111"/>
    <s v="Premium"/>
    <n v="46"/>
    <s v="FIDELITY BANK"/>
    <x v="1"/>
  </r>
  <r>
    <d v="2022-02-22T00:00:00"/>
    <s v="DP3E456"/>
    <s v="Odumosu Duke"/>
    <s v="Oduke@coriftech.com"/>
    <s v="Male"/>
    <s v="PVC2023108"/>
    <s v="Standard"/>
    <n v="48"/>
    <s v="WEMA BANK"/>
    <x v="2"/>
  </r>
  <r>
    <d v="2022-02-22T00:00:00"/>
    <s v="DP2K273"/>
    <s v="Keaton Jimenez"/>
    <s v="Kjimenez@ymail.com"/>
    <s v="Female"/>
    <s v="PVC2023165"/>
    <s v="Standard"/>
    <n v="35"/>
    <s v="STANBIC IBTC BANK"/>
    <x v="0"/>
  </r>
  <r>
    <d v="2022-02-22T00:00:00"/>
    <s v="DP3A533"/>
    <s v="Emerson Panovsky"/>
    <s v="Epanovsky@gmail.com"/>
    <s v="Female"/>
    <s v="PVC2023198"/>
    <s v="Gold"/>
    <n v="19"/>
    <s v="ZENITH BANK"/>
    <x v="1"/>
  </r>
  <r>
    <d v="2022-02-25T00:00:00"/>
    <s v="DP2T201"/>
    <s v="Ehindero Matt"/>
    <s v="Ematt@gmail.com"/>
    <s v="Male"/>
    <s v="PVC2023104"/>
    <s v="Standard"/>
    <n v="19"/>
    <s v="STANDARD CHARTERED"/>
    <x v="4"/>
  </r>
  <r>
    <d v="2022-02-25T00:00:00"/>
    <s v="DP2K111"/>
    <s v="Oludaisi Johnson"/>
    <s v="Ojohnson@coriftech.com"/>
    <s v="Female"/>
    <s v="PVC2023122"/>
    <s v="Gold"/>
    <n v="45"/>
    <s v="ACCESS BANK"/>
    <x v="1"/>
  </r>
  <r>
    <d v="2022-02-26T00:00:00"/>
    <s v="DP3V608"/>
    <s v="Peter Adams"/>
    <s v="Padams@coriftech.com"/>
    <s v="Male"/>
    <s v="PVC2023126"/>
    <s v="Standard"/>
    <n v="64"/>
    <s v="GTBANK PLC"/>
    <x v="1"/>
  </r>
  <r>
    <d v="2022-02-26T00:00:00"/>
    <s v="DP2A155"/>
    <s v="Adebola Solis"/>
    <s v="Asolis@ymail.com"/>
    <s v="Female"/>
    <s v="PVC2023124"/>
    <s v="Standard"/>
    <n v="29"/>
    <s v="ZENITH BANK"/>
    <x v="1"/>
  </r>
  <r>
    <d v="2022-02-26T00:00:00"/>
    <s v="DP2F214"/>
    <s v="Taoheed Perkins"/>
    <s v="Tperkins@coriftech.com"/>
    <s v="Female"/>
    <s v="PVC2023176"/>
    <s v="Standard"/>
    <n v="73"/>
    <s v="ZENITH BANK"/>
    <x v="0"/>
  </r>
  <r>
    <d v="2022-02-28T00:00:00"/>
    <s v="DP3Z424"/>
    <s v="Cyrus Smith"/>
    <s v="Csmith@ymail.com"/>
    <s v="Male"/>
    <s v="PVC2023183"/>
    <s v="Standard"/>
    <n v="72"/>
    <s v="ZENITH BANK"/>
    <x v="2"/>
  </r>
  <r>
    <d v="2022-03-01T00:00:00"/>
    <s v="DP3A371"/>
    <s v="Ayo Ezichi"/>
    <s v="Aezichi@coriftech.com"/>
    <s v="Male"/>
    <s v="PVC2023131"/>
    <s v="Standard"/>
    <n v="40"/>
    <s v="STANBIC IBTC BANK"/>
    <x v="4"/>
  </r>
  <r>
    <d v="2022-03-03T00:00:00"/>
    <s v="DP2A209"/>
    <s v="Ayo Vang"/>
    <s v="Avang@coriftech.com"/>
    <s v="Male"/>
    <s v="PVC2023199"/>
    <s v="Standard"/>
    <n v="44"/>
    <s v="FIDELITY BANK"/>
    <x v="1"/>
  </r>
  <r>
    <d v="2022-03-03T00:00:00"/>
    <s v="DP2L247"/>
    <s v="Noel Mack"/>
    <s v="Nmack@gmail.com"/>
    <s v="Male"/>
    <s v="PVC2023139"/>
    <s v="Gold"/>
    <n v="64"/>
    <s v="UNION BANK"/>
    <x v="3"/>
  </r>
  <r>
    <d v="2022-03-03T00:00:00"/>
    <s v="DP3T363"/>
    <s v="Adeniyi Tillman"/>
    <s v="Atillman@ymail.com"/>
    <s v="Male"/>
    <s v="PVC2023119"/>
    <s v="Gold"/>
    <n v="63"/>
    <s v="UNITED BANK FOR AFRICA"/>
    <x v="3"/>
  </r>
  <r>
    <d v="2022-03-03T00:00:00"/>
    <s v="DP3N465"/>
    <s v="George Clubbs"/>
    <s v="Gclubbs@coriftech.com"/>
    <s v="Female"/>
    <s v="PVC2023109"/>
    <s v="Premium"/>
    <n v="39"/>
    <s v="WEMA BANK"/>
    <x v="4"/>
  </r>
  <r>
    <d v="2022-03-04T00:00:00"/>
    <s v="DP2O250"/>
    <s v="Small Orr"/>
    <s v="Sorr@gmail.com"/>
    <s v="Female"/>
    <s v="PVC2023164"/>
    <s v="Gold"/>
    <n v="40"/>
    <s v="ZENITH BANK"/>
    <x v="0"/>
  </r>
  <r>
    <d v="2022-03-04T00:00:00"/>
    <s v="DP2O196"/>
    <s v="Hiroko Panovsky"/>
    <s v="Hpanovsky@ymail.com"/>
    <s v="Male"/>
    <s v="PVC2023182"/>
    <s v="Standard"/>
    <n v="59"/>
    <s v="ZENITH BANK"/>
    <x v="0"/>
  </r>
  <r>
    <d v="2022-03-04T00:00:00"/>
    <s v="DP2F106"/>
    <s v="Odumosu Duke"/>
    <s v="Oduke@coriftech.com"/>
    <s v="Male"/>
    <s v="PVC2023108"/>
    <s v="Standard"/>
    <n v="48"/>
    <s v="UNITED BANK FOR AFRICA"/>
    <x v="3"/>
  </r>
  <r>
    <d v="2022-03-06T00:00:00"/>
    <s v="DP3Y396"/>
    <s v="Ursula Maddox"/>
    <s v="Umaddox@gmail.com"/>
    <s v="Male"/>
    <s v="PVC2023166"/>
    <s v="Standard"/>
    <n v="41"/>
    <s v="STANDARD CHARTERED"/>
    <x v="0"/>
  </r>
  <r>
    <d v="2022-03-06T00:00:00"/>
    <s v="DP3O547"/>
    <s v="Adeniyi Weaver"/>
    <s v="Aweaver@ymail.com"/>
    <s v="Male"/>
    <s v="PVC2023105"/>
    <s v="Gold"/>
    <n v="39"/>
    <s v="UNION BANK"/>
    <x v="4"/>
  </r>
  <r>
    <d v="2022-03-08T00:00:00"/>
    <s v="DP3D347"/>
    <s v="Forrest Felix"/>
    <s v="Ffelix@coriftech.com"/>
    <s v="Female"/>
    <s v="PVC2023145"/>
    <s v="Standard"/>
    <n v="65"/>
    <s v="ZENITH BANK"/>
    <x v="0"/>
  </r>
  <r>
    <d v="2022-03-08T00:00:00"/>
    <s v="DP2N195"/>
    <s v="Morgan Herriot"/>
    <s v="Mherriot@coriftech.com"/>
    <s v="Female"/>
    <s v="PVC2023127"/>
    <s v="Premium"/>
    <n v="37"/>
    <s v="UNITED BANK FOR AFRICA"/>
    <x v="0"/>
  </r>
  <r>
    <d v="2022-03-08T00:00:00"/>
    <s v="DP3F457"/>
    <s v="Brett Fernandez"/>
    <s v="Bfernandez@gmail.com"/>
    <s v="Male"/>
    <s v="PVC2023191"/>
    <s v="Premium"/>
    <n v="47"/>
    <s v="FIRST BANK"/>
    <x v="3"/>
  </r>
  <r>
    <d v="2022-03-08T00:00:00"/>
    <s v="DP2B156"/>
    <s v="Noble Hicks"/>
    <s v="Nhicks@gmail.com"/>
    <s v="Male"/>
    <s v="PVC2023112"/>
    <s v="Gold"/>
    <n v="76"/>
    <s v="STANBIC IBTC BANK"/>
    <x v="3"/>
  </r>
  <r>
    <d v="2022-03-09T00:00:00"/>
    <s v="DP2R226"/>
    <s v="Oludaisi Johnson"/>
    <s v="Ojohnson@coriftech.com"/>
    <s v="Female"/>
    <s v="PVC2023122"/>
    <s v="Gold"/>
    <n v="45"/>
    <s v="UNITED BANK FOR AFRICA"/>
    <x v="4"/>
  </r>
  <r>
    <d v="2022-03-09T00:00:00"/>
    <s v="DP3W312"/>
    <s v="Adeniyi Tillman"/>
    <s v="Atillman@ymail.com"/>
    <s v="Male"/>
    <s v="PVC2023119"/>
    <s v="Gold"/>
    <n v="63"/>
    <s v="ACCESS BANK"/>
    <x v="1"/>
  </r>
  <r>
    <d v="2022-03-11T00:00:00"/>
    <s v="DP2D266"/>
    <s v="Adeniyi Tillman"/>
    <s v="Atillman@ymail.com"/>
    <s v="Male"/>
    <s v="PVC2023119"/>
    <s v="Gold"/>
    <n v="63"/>
    <s v="STANDARD CHARTERED"/>
    <x v="2"/>
  </r>
  <r>
    <d v="2022-03-11T00:00:00"/>
    <s v="DP3H405"/>
    <s v="Amery Jacob"/>
    <s v="Ajacob@ymail.com"/>
    <s v="Male"/>
    <s v="PVC2023142"/>
    <s v="Gold"/>
    <n v="21"/>
    <s v="STANBIC IBTC BANK"/>
    <x v="3"/>
  </r>
  <r>
    <d v="2022-03-12T00:00:00"/>
    <s v="DP3Y423"/>
    <s v="Odumosu Duke"/>
    <s v="Oduke@coriftech.com"/>
    <s v="Male"/>
    <s v="PVC2023108"/>
    <s v="Standard"/>
    <n v="48"/>
    <s v="STANBIC IBTC BANK"/>
    <x v="0"/>
  </r>
  <r>
    <d v="2022-03-12T00:00:00"/>
    <s v="DP3L382"/>
    <s v="Keaton Jimenez"/>
    <s v="Kjimenez@ymail.com"/>
    <s v="Female"/>
    <s v="PVC2023165"/>
    <s v="Standard"/>
    <n v="35"/>
    <s v="WEMA BANK"/>
    <x v="3"/>
  </r>
  <r>
    <d v="2022-03-13T00:00:00"/>
    <s v="DP3S443"/>
    <s v="Adebola Solis"/>
    <s v="Asolis@ymail.com"/>
    <s v="Female"/>
    <s v="PVC2023124"/>
    <s v="Standard"/>
    <n v="29"/>
    <s v="ZENITH BANK"/>
    <x v="1"/>
  </r>
  <r>
    <d v="2022-03-13T00:00:00"/>
    <s v="DP3T471"/>
    <s v="Morgan Herriot"/>
    <s v="Mherriot@coriftech.com"/>
    <s v="Female"/>
    <s v="PVC2023127"/>
    <s v="Premium"/>
    <n v="37"/>
    <s v="STANBIC IBTC BANK"/>
    <x v="4"/>
  </r>
  <r>
    <d v="2022-03-13T00:00:00"/>
    <s v="DP3I541"/>
    <s v="Okediran Mitchell"/>
    <s v="Omitchell@ymail.com"/>
    <s v="Female"/>
    <s v="PVC2023190"/>
    <s v="Premium"/>
    <n v="28"/>
    <s v="GTBANK PLC"/>
    <x v="0"/>
  </r>
  <r>
    <d v="2022-03-13T00:00:00"/>
    <s v="DP3Q387"/>
    <s v="Adeleke Fitzpatrick"/>
    <s v="Afitzpatrick@gmail.com"/>
    <s v="Male"/>
    <s v="PVC2023148"/>
    <s v="Standard"/>
    <n v="59"/>
    <s v="ZENITH BANK"/>
    <x v="0"/>
  </r>
  <r>
    <d v="2022-03-14T00:00:00"/>
    <s v="DP3R550"/>
    <s v="Olayinka Canini"/>
    <s v="Ocanini@coriftech.com"/>
    <s v="Female"/>
    <s v="PVC2023106"/>
    <s v="Gold"/>
    <n v="45"/>
    <s v="STANBIC IBTC BANK"/>
    <x v="3"/>
  </r>
  <r>
    <d v="2022-03-15T00:00:00"/>
    <s v="DP2P305"/>
    <s v="Adeniyi Tillman"/>
    <s v="Atillman@ymail.com"/>
    <s v="Male"/>
    <s v="PVC2023119"/>
    <s v="Gold"/>
    <n v="63"/>
    <s v="UNITED BANK FOR AFRICA"/>
    <x v="1"/>
  </r>
  <r>
    <d v="2022-03-15T00:00:00"/>
    <s v="DP3Z367"/>
    <s v="Joy Garza"/>
    <s v="Jgarza@ymail.com"/>
    <s v="Male"/>
    <s v="PVC2023147"/>
    <s v="Premium"/>
    <n v="60"/>
    <s v="FIRST BANK"/>
    <x v="4"/>
  </r>
  <r>
    <d v="2022-03-16T00:00:00"/>
    <s v="DP3H351"/>
    <s v="Ingrid Burris"/>
    <s v="Iburris@coriftech.com"/>
    <s v="Female"/>
    <s v="PVC2023128"/>
    <s v="Gold"/>
    <n v="50"/>
    <s v="UNITED BANK FOR AFRICA"/>
    <x v="3"/>
  </r>
  <r>
    <d v="2022-03-16T00:00:00"/>
    <s v="DP3R604"/>
    <s v="Taibat Dennis"/>
    <s v="Tdennis@gmail.com"/>
    <s v="Male"/>
    <s v="PVC2023133"/>
    <s v="Premium"/>
    <n v="37"/>
    <s v="WEMA BANK"/>
    <x v="4"/>
  </r>
  <r>
    <d v="2022-03-17T00:00:00"/>
    <s v="DP3R361"/>
    <s v="Adebola Ezichi"/>
    <s v="Aezichi@gmail.com"/>
    <s v="Female"/>
    <s v="PVC2023194"/>
    <s v="Standard"/>
    <n v="37"/>
    <s v="WEMA BANK"/>
    <x v="0"/>
  </r>
  <r>
    <d v="2022-03-17T00:00:00"/>
    <s v="DP3A317"/>
    <s v="Odumosu Mcclure"/>
    <s v="Omcclure@gmail.com"/>
    <s v="Male"/>
    <s v="PVC2023154"/>
    <s v="Standard"/>
    <n v="60"/>
    <s v="STANBIC IBTC BANK"/>
    <x v="3"/>
  </r>
  <r>
    <d v="2022-03-17T00:00:00"/>
    <s v="DP2M248"/>
    <s v="Celeste Miller"/>
    <s v="Cmiller@gmail.com"/>
    <s v="Female"/>
    <s v="PVC2023138"/>
    <s v="Premium"/>
    <n v="66"/>
    <s v="STANBIC IBTC BANK"/>
    <x v="1"/>
  </r>
  <r>
    <d v="2022-03-18T00:00:00"/>
    <s v="DP2U256"/>
    <s v="Ehindero Matt"/>
    <s v="Ematt@gmail.com"/>
    <s v="Male"/>
    <s v="PVC2023104"/>
    <s v="Standard"/>
    <n v="19"/>
    <s v="STANBIC IBTC BANK"/>
    <x v="0"/>
  </r>
  <r>
    <d v="2022-03-19T00:00:00"/>
    <s v="DP3D428"/>
    <s v="Akanteyon Knowles"/>
    <s v="Aknowles@gmail.com"/>
    <s v="Male"/>
    <s v="PVC2023184"/>
    <s v="Gold"/>
    <n v="29"/>
    <s v="UNITED BANK FOR AFRICA"/>
    <x v="1"/>
  </r>
  <r>
    <d v="2022-03-19T00:00:00"/>
    <s v="DP3X422"/>
    <s v="Jerry Ellis"/>
    <s v="Jellis@gmail.com"/>
    <s v="Male"/>
    <s v="PVC2023197"/>
    <s v="Premium"/>
    <n v="29"/>
    <s v="FIDELITY BANK"/>
    <x v="2"/>
  </r>
  <r>
    <d v="2022-03-19T00:00:00"/>
    <s v="DP3D482"/>
    <s v="Petra Panovsky"/>
    <s v="Ppanovsky@coriftech.com"/>
    <s v="Female"/>
    <s v="PVC2023146"/>
    <s v="Standard"/>
    <n v="59"/>
    <s v="ACCESS BANK"/>
    <x v="3"/>
  </r>
  <r>
    <d v="2022-03-21T00:00:00"/>
    <s v="DP3Z559"/>
    <s v="Morgan Herriot"/>
    <s v="Mherriot@coriftech.com"/>
    <s v="Female"/>
    <s v="PVC2023127"/>
    <s v="Premium"/>
    <n v="37"/>
    <s v="FIRST BANK"/>
    <x v="1"/>
  </r>
  <r>
    <d v="2022-03-21T00:00:00"/>
    <s v="DP2Y261"/>
    <s v="Rhona Mitchell"/>
    <s v="Rmitchell@gmail.com"/>
    <s v="Female"/>
    <s v="PVC2023141"/>
    <s v="Premium"/>
    <n v="72"/>
    <s v="FIDELITY BANK"/>
    <x v="4"/>
  </r>
  <r>
    <d v="2022-03-21T00:00:00"/>
    <s v="DP2E213"/>
    <s v="Jerry Ellis"/>
    <s v="Jellis@gmail.com"/>
    <s v="Male"/>
    <s v="PVC2023197"/>
    <s v="Premium"/>
    <n v="29"/>
    <s v="GTBANK PLC"/>
    <x v="1"/>
  </r>
  <r>
    <d v="2022-03-23T00:00:00"/>
    <s v="DP2T255"/>
    <s v="Fasinu Adams"/>
    <s v="Fadams@ymail.com"/>
    <s v="Male"/>
    <s v="PVC2023172"/>
    <s v="Standard"/>
    <n v="50"/>
    <s v="WEMA BANK"/>
    <x v="3"/>
  </r>
  <r>
    <d v="2022-03-23T00:00:00"/>
    <s v="DP2M302"/>
    <s v="Adeleke Fitzpatrick"/>
    <s v="Afitzpatrick@gmail.com"/>
    <s v="Male"/>
    <s v="PVC2023148"/>
    <s v="Standard"/>
    <n v="59"/>
    <s v="STANDARD CHARTERED"/>
    <x v="0"/>
  </r>
  <r>
    <d v="2022-03-24T00:00:00"/>
    <s v="DP3R577"/>
    <s v="Jelani Mckinney"/>
    <s v="Jmckinney@coriftech.com"/>
    <s v="Female"/>
    <s v="PVC2023107"/>
    <s v="Gold"/>
    <n v="31"/>
    <s v="ZENITH BANK"/>
    <x v="2"/>
  </r>
  <r>
    <d v="2022-03-24T00:00:00"/>
    <s v="DP2I217"/>
    <s v="Oludaisi Johnson"/>
    <s v="Ojohnson@coriftech.com"/>
    <s v="Female"/>
    <s v="PVC2023122"/>
    <s v="Gold"/>
    <n v="45"/>
    <s v="UNION BANK"/>
    <x v="0"/>
  </r>
  <r>
    <d v="2022-03-24T00:00:00"/>
    <s v="DP2E159"/>
    <s v="Noble Hicks"/>
    <s v="Nhicks@gmail.com"/>
    <s v="Male"/>
    <s v="PVC2023112"/>
    <s v="Gold"/>
    <n v="76"/>
    <s v="ACCESS BANK"/>
    <x v="4"/>
  </r>
  <r>
    <d v="2022-03-25T00:00:00"/>
    <s v="DP2Z178"/>
    <s v="Taibat Dennis"/>
    <s v="Tdennis@gmail.com"/>
    <s v="Male"/>
    <s v="PVC2023133"/>
    <s v="Premium"/>
    <n v="37"/>
    <s v="FIRST BANK"/>
    <x v="1"/>
  </r>
  <r>
    <d v="2022-03-25T00:00:00"/>
    <s v="DP3G350"/>
    <s v="Odumosu Duke"/>
    <s v="Oduke@coriftech.com"/>
    <s v="Male"/>
    <s v="PVC2023108"/>
    <s v="Standard"/>
    <n v="48"/>
    <s v="UNITED BANK FOR AFRICA"/>
    <x v="3"/>
  </r>
  <r>
    <d v="2022-03-26T00:00:00"/>
    <s v="DP3V419"/>
    <s v="Petra Panovsky"/>
    <s v="Ppanovsky@coriftech.com"/>
    <s v="Female"/>
    <s v="PVC2023146"/>
    <s v="Standard"/>
    <n v="59"/>
    <s v="UNITED BANK FOR AFRICA"/>
    <x v="1"/>
  </r>
  <r>
    <d v="2022-03-26T00:00:00"/>
    <s v="DP2Y180"/>
    <s v="Brynne Nankam"/>
    <s v="Bnankam@coriftech.com"/>
    <s v="Male"/>
    <s v="PVC2023143"/>
    <s v="Gold"/>
    <n v="64"/>
    <s v="GTBANK PLC"/>
    <x v="0"/>
  </r>
  <r>
    <d v="2022-03-27T00:00:00"/>
    <s v="DP2J218"/>
    <s v="Fletcher Merritt"/>
    <s v="Fmerritt@gmail.com"/>
    <s v="Female"/>
    <s v="PVC2023193"/>
    <s v="Standard"/>
    <n v="66"/>
    <s v="UNITED BANK FOR AFRICA"/>
    <x v="3"/>
  </r>
  <r>
    <d v="2022-03-28T00:00:00"/>
    <s v="DP3L409"/>
    <s v="Noel Mack"/>
    <s v="Nmack@gmail.com"/>
    <s v="Male"/>
    <s v="PVC2023139"/>
    <s v="Gold"/>
    <n v="64"/>
    <s v="FIDELITY BANK"/>
    <x v="0"/>
  </r>
  <r>
    <d v="2022-03-28T00:00:00"/>
    <s v="DP3Y531"/>
    <s v="Olayinka Canini"/>
    <s v="Ocanini@coriftech.com"/>
    <s v="Female"/>
    <s v="PVC2023106"/>
    <s v="Gold"/>
    <n v="45"/>
    <s v="UNION BANK"/>
    <x v="3"/>
  </r>
  <r>
    <d v="2022-03-31T00:00:00"/>
    <s v="DP2G269"/>
    <s v="Adebola Ezichi"/>
    <s v="Aezichi@gmail.com"/>
    <s v="Female"/>
    <s v="PVC2023194"/>
    <s v="Standard"/>
    <n v="37"/>
    <s v="ZENITH BANK"/>
    <x v="3"/>
  </r>
  <r>
    <d v="2022-03-31T00:00:00"/>
    <s v="DP3U391"/>
    <s v="Emerson Panovsky"/>
    <s v="Epanovsky@gmail.com"/>
    <s v="Female"/>
    <s v="PVC2023198"/>
    <s v="Gold"/>
    <n v="19"/>
    <s v="GTBANK PLC"/>
    <x v="3"/>
  </r>
  <r>
    <d v="2022-04-01T00:00:00"/>
    <s v="DP2C265"/>
    <s v="Thomas Byrd"/>
    <s v="Tbyrd@coriftech.com"/>
    <s v="Male"/>
    <s v="PVC2023157"/>
    <s v="Gold"/>
    <n v="32"/>
    <s v="ACCESS BANK"/>
    <x v="0"/>
  </r>
  <r>
    <d v="2022-04-02T00:00:00"/>
    <s v="DP2B237"/>
    <s v="Athena Macdonald"/>
    <s v="Amacdonald@gmail.com"/>
    <s v="Male"/>
    <s v="PVC2023150"/>
    <s v="Gold"/>
    <n v="29"/>
    <s v="UNITED BANK FOR AFRICA"/>
    <x v="4"/>
  </r>
  <r>
    <d v="2022-04-03T00:00:00"/>
    <s v="DP2B102"/>
    <s v="Emerson Panovsky"/>
    <s v="Epanovsky@gmail.com"/>
    <s v="Female"/>
    <s v="PVC2023198"/>
    <s v="Gold"/>
    <n v="19"/>
    <s v="FIDELITY BANK"/>
    <x v="3"/>
  </r>
  <r>
    <d v="2022-04-03T00:00:00"/>
    <s v="DP3C589"/>
    <s v="Adeniyi Tillman"/>
    <s v="Atillman@ymail.com"/>
    <s v="Male"/>
    <s v="PVC2023119"/>
    <s v="Gold"/>
    <n v="63"/>
    <s v="ACCESS BANK"/>
    <x v="2"/>
  </r>
  <r>
    <d v="2022-04-04T00:00:00"/>
    <s v="DP2Q306"/>
    <s v="Eleanor Duane"/>
    <s v="Eduane@gmail.com"/>
    <s v="Male"/>
    <s v="PVC2023195"/>
    <s v="Standard"/>
    <n v="35"/>
    <s v="UNITED BANK FOR AFRICA"/>
    <x v="1"/>
  </r>
  <r>
    <d v="2022-04-05T00:00:00"/>
    <s v="DP3Q576"/>
    <s v="Adebola Solis"/>
    <s v="Asolis@ymail.com"/>
    <s v="Female"/>
    <s v="PVC2023124"/>
    <s v="Standard"/>
    <n v="29"/>
    <s v="UNION BANK"/>
    <x v="1"/>
  </r>
  <r>
    <d v="2022-04-06T00:00:00"/>
    <s v="DP3O601"/>
    <s v="Ayo Ezichi"/>
    <s v="Aezichi@coriftech.com"/>
    <s v="Male"/>
    <s v="PVC2023131"/>
    <s v="Standard"/>
    <n v="40"/>
    <s v="FIRST BANK"/>
    <x v="0"/>
  </r>
  <r>
    <d v="2022-04-07T00:00:00"/>
    <s v="DP3O493"/>
    <s v="Odumosu Mcclure"/>
    <s v="Omcclure@gmail.com"/>
    <s v="Male"/>
    <s v="PVC2023154"/>
    <s v="Standard"/>
    <n v="60"/>
    <s v="STANDARD CHARTERED"/>
    <x v="3"/>
  </r>
  <r>
    <d v="2022-04-08T00:00:00"/>
    <s v="DP2R145"/>
    <s v="Saheed Warner"/>
    <s v="Swarner@gmail.com"/>
    <s v="Female"/>
    <s v="PVC2023151"/>
    <s v="Gold"/>
    <n v="72"/>
    <s v="ACCESS BANK"/>
    <x v="3"/>
  </r>
  <r>
    <d v="2022-04-08T00:00:00"/>
    <s v="DP2Z232"/>
    <s v="Olaogun Kidd"/>
    <s v="Okidd@gmail.com"/>
    <s v="Male"/>
    <s v="PVC2023134"/>
    <s v="Premium"/>
    <n v="68"/>
    <s v="UNITED BANK FOR AFRICA"/>
    <x v="3"/>
  </r>
  <r>
    <d v="2022-04-09T00:00:00"/>
    <s v="DP3Z532"/>
    <s v="Saheed Warner"/>
    <s v="Swarner@gmail.com"/>
    <s v="Female"/>
    <s v="PVC2023151"/>
    <s v="Gold"/>
    <n v="72"/>
    <s v="WEMA BANK"/>
    <x v="2"/>
  </r>
  <r>
    <d v="2022-04-10T00:00:00"/>
    <s v="DP3S578"/>
    <s v="Jared Dennis"/>
    <s v="Jdennis@ymail.com"/>
    <s v="Male"/>
    <s v="PVC2023162"/>
    <s v="Premium"/>
    <n v="76"/>
    <s v="UNITED BANK FOR AFRICA"/>
    <x v="3"/>
  </r>
  <r>
    <d v="2022-04-12T00:00:00"/>
    <s v="DP3N546"/>
    <s v="Lesly Porter"/>
    <s v="Lporter@gmail.com"/>
    <s v="Female"/>
    <s v="PVC2023137"/>
    <s v="Gold"/>
    <n v="68"/>
    <s v="ACCESS BANK"/>
    <x v="1"/>
  </r>
  <r>
    <d v="2022-04-14T00:00:00"/>
    <s v="DP3E483"/>
    <s v="Odumosu Duke"/>
    <s v="Oduke@coriftech.com"/>
    <s v="Male"/>
    <s v="PVC2023108"/>
    <s v="Standard"/>
    <n v="48"/>
    <s v="UNITED BANK FOR AFRICA"/>
    <x v="3"/>
  </r>
  <r>
    <d v="2022-04-15T00:00:00"/>
    <s v="DP2N168"/>
    <s v="Isadora Jones"/>
    <s v="Ijones@ymail.com"/>
    <s v="Male"/>
    <s v="PVC2023171"/>
    <s v="Premium"/>
    <n v="24"/>
    <s v="FIDELITY BANK"/>
    <x v="1"/>
  </r>
  <r>
    <d v="2022-04-16T00:00:00"/>
    <s v="DP3T444"/>
    <s v="Adeniyi Mcconnell"/>
    <s v="Amcconnell@coriftech.com"/>
    <s v="Female"/>
    <s v="PVC2023168"/>
    <s v="Standard"/>
    <n v="32"/>
    <s v="FIDELITY BANK"/>
    <x v="1"/>
  </r>
  <r>
    <d v="2022-04-16T00:00:00"/>
    <s v="DP3I595"/>
    <s v="Odumosu Duke"/>
    <s v="Oduke@coriftech.com"/>
    <s v="Male"/>
    <s v="PVC2023108"/>
    <s v="Standard"/>
    <n v="48"/>
    <s v="STANBIC IBTC BANK"/>
    <x v="0"/>
  </r>
  <r>
    <d v="2022-04-17T00:00:00"/>
    <s v="DP3N438"/>
    <s v="Brittany Best"/>
    <s v="Bbest@gmail.com"/>
    <s v="Female"/>
    <s v="PVC2023125"/>
    <s v="Premium"/>
    <n v="28"/>
    <s v="UNION BANK"/>
    <x v="3"/>
  </r>
  <r>
    <d v="2022-04-18T00:00:00"/>
    <s v="DP2J245"/>
    <s v="Emerson Panovsky"/>
    <s v="Epanovsky@gmail.com"/>
    <s v="Female"/>
    <s v="PVC2023198"/>
    <s v="Gold"/>
    <n v="19"/>
    <s v="WEMA BANK"/>
    <x v="3"/>
  </r>
  <r>
    <d v="2022-04-20T00:00:00"/>
    <s v="DP2H216"/>
    <s v="Cyrus Smith"/>
    <s v="Csmith@ymail.com"/>
    <s v="Male"/>
    <s v="PVC2023183"/>
    <s v="Standard"/>
    <n v="72"/>
    <s v="GTBANK PLC"/>
    <x v="3"/>
  </r>
  <r>
    <d v="2022-04-20T00:00:00"/>
    <s v="DP2L274"/>
    <s v="Agemo Barnes"/>
    <s v="Abarnes@gmail.com"/>
    <s v="Female"/>
    <s v="PVC2023136"/>
    <s v="Premium"/>
    <n v="58"/>
    <s v="UNITED BANK FOR AFRICA"/>
    <x v="0"/>
  </r>
  <r>
    <d v="2022-04-20T00:00:00"/>
    <s v="DP3W393"/>
    <s v="Olaogun Kidd"/>
    <s v="Okidd@gmail.com"/>
    <s v="Male"/>
    <s v="PVC2023134"/>
    <s v="Premium"/>
    <n v="68"/>
    <s v="UNION BANK"/>
    <x v="4"/>
  </r>
  <r>
    <d v="2022-04-21T00:00:00"/>
    <s v="DP3U553"/>
    <s v="Adeniyi Weaver"/>
    <s v="Aweaver@ymail.com"/>
    <s v="Male"/>
    <s v="PVC2023105"/>
    <s v="Gold"/>
    <n v="39"/>
    <s v="FIRST BANK"/>
    <x v="1"/>
  </r>
  <r>
    <d v="2022-04-21T00:00:00"/>
    <s v="DP2B210"/>
    <s v="Adebola Solis"/>
    <s v="Asolis@ymail.com"/>
    <s v="Female"/>
    <s v="PVC2023124"/>
    <s v="Standard"/>
    <n v="29"/>
    <s v="UNION BANK"/>
    <x v="3"/>
  </r>
  <r>
    <d v="2022-04-23T00:00:00"/>
    <s v="DP2O169"/>
    <s v="Adeniyi Weaver"/>
    <s v="Aweaver@ymail.com"/>
    <s v="Male"/>
    <s v="PVC2023105"/>
    <s v="Gold"/>
    <n v="39"/>
    <s v="FIDELITY BANK"/>
    <x v="3"/>
  </r>
  <r>
    <d v="2022-04-24T00:00:00"/>
    <s v="DP2W177"/>
    <s v="Bamidele Alexander"/>
    <s v="Balexander@ymail.com"/>
    <s v="Male"/>
    <s v="PVC2023113"/>
    <s v="Premium"/>
    <n v="61"/>
    <s v="UNITED BANK FOR AFRICA"/>
    <x v="4"/>
  </r>
  <r>
    <d v="2022-04-26T00:00:00"/>
    <s v="DP2E240"/>
    <s v="Adeniyi Weaver"/>
    <s v="Aweaver@ymail.com"/>
    <s v="Male"/>
    <s v="PVC2023105"/>
    <s v="Gold"/>
    <n v="39"/>
    <s v="UNION BANK"/>
    <x v="0"/>
  </r>
  <r>
    <d v="2022-04-26T00:00:00"/>
    <s v="DP2R199"/>
    <s v="Oludaisi Johnson"/>
    <s v="Ojohnson@coriftech.com"/>
    <s v="Female"/>
    <s v="PVC2023122"/>
    <s v="Gold"/>
    <n v="45"/>
    <s v="UNION BANK"/>
    <x v="2"/>
  </r>
  <r>
    <d v="2022-04-27T00:00:00"/>
    <s v="DP3B507"/>
    <s v="Joy Garza"/>
    <s v="Jgarza@ymail.com"/>
    <s v="Male"/>
    <s v="PVC2023147"/>
    <s v="Premium"/>
    <n v="60"/>
    <s v="STANBIC IBTC BANK"/>
    <x v="2"/>
  </r>
  <r>
    <d v="2022-04-28T00:00:00"/>
    <s v="DP3L436"/>
    <s v="Amery Jacob"/>
    <s v="Ajacob@ymail.com"/>
    <s v="Male"/>
    <s v="PVC2023142"/>
    <s v="Gold"/>
    <n v="21"/>
    <s v="ACCESS BANK"/>
    <x v="0"/>
  </r>
  <r>
    <d v="2022-04-28T00:00:00"/>
    <s v="DP3O466"/>
    <s v="Lesly Porter"/>
    <s v="Lporter@gmail.com"/>
    <s v="Female"/>
    <s v="PVC2023137"/>
    <s v="Gold"/>
    <n v="68"/>
    <s v="FIRST BANK"/>
    <x v="3"/>
  </r>
  <r>
    <d v="2022-04-29T00:00:00"/>
    <s v="DP3Q333"/>
    <s v="Emerson Panovsky"/>
    <s v="Epanovsky@gmail.com"/>
    <s v="Female"/>
    <s v="PVC2023198"/>
    <s v="Gold"/>
    <n v="19"/>
    <s v="UNITED BANK FOR AFRICA"/>
    <x v="0"/>
  </r>
  <r>
    <d v="2022-04-30T00:00:00"/>
    <s v="DP2U148"/>
    <s v="Athena Macdonald"/>
    <s v="Amacdonald@gmail.com"/>
    <s v="Male"/>
    <s v="PVC2023150"/>
    <s v="Gold"/>
    <n v="29"/>
    <s v="UNION BANK"/>
    <x v="1"/>
  </r>
  <r>
    <d v="2022-04-30T00:00:00"/>
    <s v="DP2M167"/>
    <s v="Brett Fernandez"/>
    <s v="Bfernandez@gmail.com"/>
    <s v="Male"/>
    <s v="PVC2023191"/>
    <s v="Premium"/>
    <n v="47"/>
    <s v="UNION BANK"/>
    <x v="3"/>
  </r>
  <r>
    <d v="2022-05-01T00:00:00"/>
    <s v="DP3L598"/>
    <s v="Adeniyi Chang"/>
    <s v="Achang@gmail.com"/>
    <s v="Female"/>
    <s v="PVC2023110"/>
    <s v="Premium"/>
    <n v="76"/>
    <s v="ZENITH BANK"/>
    <x v="2"/>
  </r>
  <r>
    <d v="2022-05-01T00:00:00"/>
    <s v="DP2Z289"/>
    <s v="Paul Ferris"/>
    <s v="Pferris@gmail.com"/>
    <s v="Female"/>
    <s v="PVC2023181"/>
    <s v="Premium"/>
    <n v="48"/>
    <s v="UNION BANK"/>
    <x v="1"/>
  </r>
  <r>
    <d v="2022-05-01T00:00:00"/>
    <s v="DP3Q414"/>
    <s v="Forrest Felix"/>
    <s v="Ffelix@coriftech.com"/>
    <s v="Female"/>
    <s v="PVC2023145"/>
    <s v="Standard"/>
    <n v="65"/>
    <s v="UNION BANK"/>
    <x v="4"/>
  </r>
  <r>
    <d v="2022-05-01T00:00:00"/>
    <s v="DP2T120"/>
    <s v="Adebola Solis"/>
    <s v="Asolis@ymail.com"/>
    <s v="Female"/>
    <s v="PVC2023124"/>
    <s v="Standard"/>
    <n v="29"/>
    <s v="STANDARD CHARTERED"/>
    <x v="3"/>
  </r>
  <r>
    <d v="2022-05-01T00:00:00"/>
    <s v="DP2S227"/>
    <s v="Brynne Nankam"/>
    <s v="Bnankam@coriftech.com"/>
    <s v="Male"/>
    <s v="PVC2023143"/>
    <s v="Gold"/>
    <n v="64"/>
    <s v="STANDARD CHARTERED"/>
    <x v="4"/>
  </r>
  <r>
    <d v="2022-05-01T00:00:00"/>
    <s v="DP3F565"/>
    <s v="Lesly Porter"/>
    <s v="Lporter@gmail.com"/>
    <s v="Female"/>
    <s v="PVC2023137"/>
    <s v="Gold"/>
    <n v="68"/>
    <s v="WEMA BANK"/>
    <x v="0"/>
  </r>
  <r>
    <d v="2022-05-04T00:00:00"/>
    <s v="DP3G323"/>
    <s v="Hiroko Panovsky"/>
    <s v="Hpanovsky@ymail.com"/>
    <s v="Male"/>
    <s v="PVC2023182"/>
    <s v="Standard"/>
    <n v="59"/>
    <s v="ACCESS BANK"/>
    <x v="1"/>
  </r>
  <r>
    <d v="2022-05-05T00:00:00"/>
    <s v="DP2M140"/>
    <s v="Ivory Selhorst"/>
    <s v="Iselhorst@coriftech.com"/>
    <s v="Female"/>
    <s v="PVC2023144"/>
    <s v="Premium"/>
    <n v="54"/>
    <s v="UNION BANK"/>
    <x v="0"/>
  </r>
  <r>
    <d v="2022-05-05T00:00:00"/>
    <s v="DP2F133"/>
    <s v="Kehinde Bush"/>
    <s v="Kbush@coriftech.com"/>
    <s v="Female"/>
    <s v="PVC2023180"/>
    <s v="Standard"/>
    <n v="48"/>
    <s v="FIDELITY BANK"/>
    <x v="2"/>
  </r>
  <r>
    <d v="2022-05-07T00:00:00"/>
    <s v="DP3C508"/>
    <s v="Lael Carter"/>
    <s v="Lcarter@coriftech.com"/>
    <s v="Female"/>
    <s v="PVC2023101"/>
    <s v="Standard"/>
    <n v="26"/>
    <s v="GTBANK PLC"/>
    <x v="2"/>
  </r>
  <r>
    <d v="2022-05-07T00:00:00"/>
    <s v="DP2L301"/>
    <s v="Benedict Miller"/>
    <s v="Bmiller@gmail.com"/>
    <s v="Male"/>
    <s v="PVC2023118"/>
    <s v="Premium"/>
    <n v="36"/>
    <s v="UNION BANK"/>
    <x v="4"/>
  </r>
  <r>
    <d v="2022-05-08T00:00:00"/>
    <s v="DP3H459"/>
    <s v="Adebola Solis"/>
    <s v="Asolis@ymail.com"/>
    <s v="Female"/>
    <s v="PVC2023124"/>
    <s v="Standard"/>
    <n v="29"/>
    <s v="FIRST BANK"/>
    <x v="1"/>
  </r>
  <r>
    <d v="2022-05-08T00:00:00"/>
    <s v="DP3R442"/>
    <s v="Cyrus Smith"/>
    <s v="Csmith@ymail.com"/>
    <s v="Male"/>
    <s v="PVC2023183"/>
    <s v="Standard"/>
    <n v="72"/>
    <s v="WEMA BANK"/>
    <x v="2"/>
  </r>
  <r>
    <d v="2022-05-09T00:00:00"/>
    <s v="DP2C292"/>
    <s v="Bell Juarez"/>
    <s v="Bjuarez@coriftech.com"/>
    <s v="Male"/>
    <s v="PVC2023173"/>
    <s v="Gold"/>
    <n v="71"/>
    <s v="STANDARD CHARTERED"/>
    <x v="1"/>
  </r>
  <r>
    <d v="2022-05-09T00:00:00"/>
    <s v="DP3Q468"/>
    <s v="Hiroko Panovsky"/>
    <s v="Hpanovsky@ymail.com"/>
    <s v="Male"/>
    <s v="PVC2023182"/>
    <s v="Standard"/>
    <n v="59"/>
    <s v="FIRST BANK"/>
    <x v="3"/>
  </r>
  <r>
    <d v="2022-05-10T00:00:00"/>
    <s v="DP3L463"/>
    <s v="Olayinka Canini"/>
    <s v="Ocanini@coriftech.com"/>
    <s v="Female"/>
    <s v="PVC2023106"/>
    <s v="Gold"/>
    <n v="45"/>
    <s v="ACCESS BANK"/>
    <x v="0"/>
  </r>
  <r>
    <d v="2022-05-10T00:00:00"/>
    <s v="DP3Z343"/>
    <s v="Liberty Barnett"/>
    <s v="Lbarnett@gmail.com"/>
    <s v="Male"/>
    <s v="PVC2023103"/>
    <s v="Standard"/>
    <n v="39"/>
    <s v="FIRST BANK"/>
    <x v="0"/>
  </r>
  <r>
    <d v="2022-05-10T00:00:00"/>
    <s v="DP2U283"/>
    <s v="Hiroko Panovsky"/>
    <s v="Hpanovsky@ymail.com"/>
    <s v="Male"/>
    <s v="PVC2023182"/>
    <s v="Standard"/>
    <n v="59"/>
    <s v="WEMA BANK"/>
    <x v="0"/>
  </r>
  <r>
    <d v="2022-05-11T00:00:00"/>
    <s v="DP3D509"/>
    <s v="Adeniyi Weaver"/>
    <s v="Aweaver@ymail.com"/>
    <s v="Male"/>
    <s v="PVC2023105"/>
    <s v="Gold"/>
    <n v="39"/>
    <s v="FIDELITY BANK"/>
    <x v="1"/>
  </r>
  <r>
    <d v="2022-05-11T00:00:00"/>
    <s v="DP3G566"/>
    <s v="Taoheed Perkins"/>
    <s v="Tperkins@coriftech.com"/>
    <s v="Female"/>
    <s v="PVC2023176"/>
    <s v="Standard"/>
    <n v="73"/>
    <s v="STANBIC IBTC BANK"/>
    <x v="3"/>
  </r>
  <r>
    <d v="2022-05-12T00:00:00"/>
    <s v="DP2G134"/>
    <s v="Saheed Thomas"/>
    <s v="Sthomas@coriftech.com"/>
    <s v="Male"/>
    <s v="PVC2023177"/>
    <s v="Standard"/>
    <n v="28"/>
    <s v="UNION BANK"/>
    <x v="0"/>
  </r>
  <r>
    <d v="2022-05-13T00:00:00"/>
    <s v="DP3F430"/>
    <s v="Ehindero Adams"/>
    <s v="Eadams@gmail.com"/>
    <s v="Female"/>
    <s v="PVC2023161"/>
    <s v="Premium"/>
    <n v="75"/>
    <s v="STANDARD CHARTERED"/>
    <x v="3"/>
  </r>
  <r>
    <d v="2022-05-13T00:00:00"/>
    <s v="DP2W258"/>
    <s v="Peter Adams"/>
    <s v="Padams@coriftech.com"/>
    <s v="Male"/>
    <s v="PVC2023126"/>
    <s v="Standard"/>
    <n v="64"/>
    <s v="FIDELITY BANK"/>
    <x v="3"/>
  </r>
  <r>
    <d v="2022-05-14T00:00:00"/>
    <s v="DP2O277"/>
    <s v="Ayo Ezichi"/>
    <s v="Aezichi@coriftech.com"/>
    <s v="Male"/>
    <s v="PVC2023131"/>
    <s v="Standard"/>
    <n v="40"/>
    <s v="FIDELITY BANK"/>
    <x v="3"/>
  </r>
  <r>
    <d v="2022-05-14T00:00:00"/>
    <s v="DP3A506"/>
    <s v="Aretha Perkins"/>
    <s v="Aperkins@coriftech.com"/>
    <s v="Female"/>
    <s v="PVC2023135"/>
    <s v="Standard"/>
    <n v="23"/>
    <s v="GTBANK PLC"/>
    <x v="1"/>
  </r>
  <r>
    <d v="2022-05-15T00:00:00"/>
    <s v="DP3X557"/>
    <s v="Jerry Ellis"/>
    <s v="Jellis@gmail.com"/>
    <s v="Male"/>
    <s v="PVC2023197"/>
    <s v="Premium"/>
    <n v="29"/>
    <s v="FIDELITY BANK"/>
    <x v="4"/>
  </r>
  <r>
    <d v="2022-05-17T00:00:00"/>
    <s v="DP3X395"/>
    <s v="Kehinde Bush"/>
    <s v="Kbush@coriftech.com"/>
    <s v="Female"/>
    <s v="PVC2023180"/>
    <s v="Standard"/>
    <n v="48"/>
    <s v="ZENITH BANK"/>
    <x v="0"/>
  </r>
  <r>
    <d v="2022-05-17T00:00:00"/>
    <s v="DP2I136"/>
    <s v="Taibat Dennis"/>
    <s v="Tdennis@gmail.com"/>
    <s v="Male"/>
    <s v="PVC2023133"/>
    <s v="Premium"/>
    <n v="37"/>
    <s v="WEMA BANK"/>
    <x v="4"/>
  </r>
  <r>
    <d v="2022-05-18T00:00:00"/>
    <s v="DP3P332"/>
    <s v="Adeleke Fitzpatrick"/>
    <s v="Afitzpatrick@gmail.com"/>
    <s v="Male"/>
    <s v="PVC2023148"/>
    <s v="Standard"/>
    <n v="59"/>
    <s v="ACCESS BANK"/>
    <x v="1"/>
  </r>
  <r>
    <d v="2022-05-18T00:00:00"/>
    <s v="DP2L166"/>
    <s v="Lani Key"/>
    <s v="Lkey@coriftech.com"/>
    <s v="Female"/>
    <s v="PVC2023130"/>
    <s v="Premium"/>
    <n v="31"/>
    <s v="WEMA BANK"/>
    <x v="2"/>
  </r>
  <r>
    <d v="2022-05-19T00:00:00"/>
    <s v="DP3G458"/>
    <s v="Noble Hicks"/>
    <s v="Nhicks@gmail.com"/>
    <s v="Male"/>
    <s v="PVC2023112"/>
    <s v="Gold"/>
    <n v="76"/>
    <s v="ACCESS BANK"/>
    <x v="3"/>
  </r>
  <r>
    <d v="2022-05-20T00:00:00"/>
    <s v="DP3F376"/>
    <s v="Odumosu Duke"/>
    <s v="Oduke@coriftech.com"/>
    <s v="Male"/>
    <s v="PVC2023108"/>
    <s v="Standard"/>
    <n v="48"/>
    <s v="FIDELITY BANK"/>
    <x v="2"/>
  </r>
  <r>
    <d v="2022-05-20T00:00:00"/>
    <s v="DP2X233"/>
    <s v="George Clubbs"/>
    <s v="Gclubbs@coriftech.com"/>
    <s v="Female"/>
    <s v="PVC2023109"/>
    <s v="Premium"/>
    <n v="39"/>
    <s v="FIDELITY BANK"/>
    <x v="0"/>
  </r>
  <r>
    <d v="2022-05-20T00:00:00"/>
    <s v="DP3J326"/>
    <s v="Thomas Byrd"/>
    <s v="Tbyrd@coriftech.com"/>
    <s v="Male"/>
    <s v="PVC2023157"/>
    <s v="Gold"/>
    <n v="32"/>
    <s v="FIRST BANK"/>
    <x v="4"/>
  </r>
  <r>
    <d v="2022-05-20T00:00:00"/>
    <s v="DP2Q198"/>
    <s v="Oluwafunmi James"/>
    <s v="Ojames@coriftech.com"/>
    <s v="Male"/>
    <s v="PVC2023189"/>
    <s v="Premium"/>
    <n v="48"/>
    <s v="UNION BANK"/>
    <x v="4"/>
  </r>
  <r>
    <d v="2022-05-21T00:00:00"/>
    <s v="DP3J407"/>
    <s v="Cyrus Smith"/>
    <s v="Csmith@ymail.com"/>
    <s v="Male"/>
    <s v="PVC2023183"/>
    <s v="Standard"/>
    <n v="72"/>
    <s v="ZENITH BANK"/>
    <x v="1"/>
  </r>
  <r>
    <d v="2022-05-22T00:00:00"/>
    <s v="DP3X503"/>
    <s v="Adeniyi Tillman"/>
    <s v="Atillman@ymail.com"/>
    <s v="Male"/>
    <s v="PVC2023119"/>
    <s v="Gold"/>
    <n v="63"/>
    <s v="UNITED BANK FOR AFRICA"/>
    <x v="4"/>
  </r>
  <r>
    <d v="2022-05-23T00:00:00"/>
    <s v="DP2P143"/>
    <s v="Fletcher Merritt"/>
    <s v="Fmerritt@gmail.com"/>
    <s v="Female"/>
    <s v="PVC2023193"/>
    <s v="Standard"/>
    <n v="66"/>
    <s v="FIDELITY BANK"/>
    <x v="2"/>
  </r>
  <r>
    <d v="2022-05-24T00:00:00"/>
    <s v="DP2U229"/>
    <s v="Bakare Andrea"/>
    <s v="Bandrea@coriftech.com"/>
    <s v="Female"/>
    <s v="PVC2023117"/>
    <s v="Gold"/>
    <n v="19"/>
    <s v="ACCESS BANK"/>
    <x v="4"/>
  </r>
  <r>
    <d v="2022-05-26T00:00:00"/>
    <s v="DP3G431"/>
    <s v="Mercedes Selhorst"/>
    <s v="Mselhorst@gmail.com"/>
    <s v="Female"/>
    <s v="PVC2023115"/>
    <s v="Premium"/>
    <n v="68"/>
    <s v="UNITED BANK FOR AFRICA"/>
    <x v="3"/>
  </r>
  <r>
    <d v="2022-05-26T00:00:00"/>
    <s v="DP3I460"/>
    <s v="Oluwafunmi James"/>
    <s v="Ojames@coriftech.com"/>
    <s v="Male"/>
    <s v="PVC2023189"/>
    <s v="Premium"/>
    <n v="48"/>
    <s v="UNITED BANK FOR AFRICA"/>
    <x v="3"/>
  </r>
  <r>
    <d v="2022-05-27T00:00:00"/>
    <s v="DP3W366"/>
    <s v="Saheed Thomas"/>
    <s v="Sthomas@coriftech.com"/>
    <s v="Male"/>
    <s v="PVC2023177"/>
    <s v="Standard"/>
    <n v="28"/>
    <s v="STANBIC IBTC BANK"/>
    <x v="4"/>
  </r>
  <r>
    <d v="2022-05-27T00:00:00"/>
    <s v="DP3O520"/>
    <s v="Robert Jones"/>
    <s v="Rjones@gmail.com"/>
    <s v="Female"/>
    <s v="PVC2023140"/>
    <s v="Standard"/>
    <n v="51"/>
    <s v="STANBIC IBTC BANK"/>
    <x v="2"/>
  </r>
  <r>
    <d v="2022-05-27T00:00:00"/>
    <s v="DP3J515"/>
    <s v="Ayo Wise"/>
    <s v="Awise@coriftech.com"/>
    <s v="Male"/>
    <s v="PVC2023174"/>
    <s v="Standard"/>
    <n v="64"/>
    <s v="WEMA BANK"/>
    <x v="2"/>
  </r>
  <r>
    <d v="2022-05-28T00:00:00"/>
    <s v="DP3I568"/>
    <s v="Oludoye Weber"/>
    <s v="Oweber@ymail.com"/>
    <s v="Female"/>
    <s v="PVC2023196"/>
    <s v="Gold"/>
    <n v="59"/>
    <s v="ACCESS BANK"/>
    <x v="1"/>
  </r>
  <r>
    <d v="2022-05-28T00:00:00"/>
    <s v="DP3F403"/>
    <s v="Taoheed Perkins"/>
    <s v="Tperkins@coriftech.com"/>
    <s v="Female"/>
    <s v="PVC2023176"/>
    <s v="Standard"/>
    <n v="73"/>
    <s v="UNION BANK"/>
    <x v="4"/>
  </r>
  <r>
    <d v="2022-05-29T00:00:00"/>
    <s v="DP3J434"/>
    <s v="Lani Key"/>
    <s v="Lkey@coriftech.com"/>
    <s v="Female"/>
    <s v="PVC2023130"/>
    <s v="Premium"/>
    <n v="31"/>
    <s v="STANDARD CHARTERED"/>
    <x v="3"/>
  </r>
  <r>
    <d v="2022-05-30T00:00:00"/>
    <s v="DP3B480"/>
    <s v="Ebuka Mercer"/>
    <s v="Emercer@ymail.com"/>
    <s v="Female"/>
    <s v="PVC2023159"/>
    <s v="Standard"/>
    <n v="24"/>
    <s v="STANDARD CHARTERED"/>
    <x v="2"/>
  </r>
  <r>
    <d v="2022-05-30T00:00:00"/>
    <s v="DP3S335"/>
    <s v="Robert Jones"/>
    <s v="Rjones@gmail.com"/>
    <s v="Female"/>
    <s v="PVC2023140"/>
    <s v="Standard"/>
    <n v="51"/>
    <s v="UNITED BANK FOR AFRICA"/>
    <x v="4"/>
  </r>
  <r>
    <d v="2022-05-30T00:00:00"/>
    <s v="DP3E375"/>
    <s v="Odumosu Mcclure"/>
    <s v="Omcclure@gmail.com"/>
    <s v="Male"/>
    <s v="PVC2023154"/>
    <s v="Standard"/>
    <n v="60"/>
    <s v="UNITED BANK FOR AFRICA"/>
    <x v="4"/>
  </r>
  <r>
    <d v="2022-05-31T00:00:00"/>
    <s v="DP2N303"/>
    <s v="Desirae Spencer"/>
    <s v="Dspencer@coriftech.com"/>
    <s v="Male"/>
    <s v="PVC2023123"/>
    <s v="Standard"/>
    <n v="59"/>
    <s v="UNION BANK"/>
    <x v="4"/>
  </r>
  <r>
    <d v="2022-05-31T00:00:00"/>
    <s v="DP3K489"/>
    <s v="Ivory Selhorst"/>
    <s v="Iselhorst@coriftech.com"/>
    <s v="Female"/>
    <s v="PVC2023144"/>
    <s v="Premium"/>
    <n v="54"/>
    <s v="UNION BANK"/>
    <x v="1"/>
  </r>
  <r>
    <d v="2022-05-31T00:00:00"/>
    <s v="DP2S281"/>
    <s v="Adeniyi Tillman"/>
    <s v="Atillman@ymail.com"/>
    <s v="Male"/>
    <s v="PVC2023119"/>
    <s v="Gold"/>
    <n v="63"/>
    <s v="STANBIC IBTC BANK"/>
    <x v="3"/>
  </r>
  <r>
    <d v="2022-06-01T00:00:00"/>
    <s v="DP2W285"/>
    <s v="Adeniyi Mcconnell"/>
    <s v="Amcconnell@coriftech.com"/>
    <s v="Female"/>
    <s v="PVC2023168"/>
    <s v="Standard"/>
    <n v="32"/>
    <s v="STANDARD CHARTERED"/>
    <x v="2"/>
  </r>
  <r>
    <d v="2022-06-01T00:00:00"/>
    <s v="DP3D536"/>
    <s v="Cyrus Smith"/>
    <s v="Csmith@ymail.com"/>
    <s v="Male"/>
    <s v="PVC2023183"/>
    <s v="Standard"/>
    <n v="72"/>
    <s v="STANBIC IBTC BANK"/>
    <x v="1"/>
  </r>
  <r>
    <d v="2022-06-01T00:00:00"/>
    <s v="DP2K165"/>
    <s v="Celeste Miller"/>
    <s v="Cmiller@gmail.com"/>
    <s v="Female"/>
    <s v="PVC2023138"/>
    <s v="Premium"/>
    <n v="66"/>
    <s v="FIRST BANK"/>
    <x v="1"/>
  </r>
  <r>
    <d v="2022-06-02T00:00:00"/>
    <s v="DP3Z340"/>
    <s v="Brittany Best"/>
    <s v="Bbest@gmail.com"/>
    <s v="Female"/>
    <s v="PVC2023125"/>
    <s v="Premium"/>
    <n v="28"/>
    <s v="ZENITH BANK"/>
    <x v="3"/>
  </r>
  <r>
    <d v="2022-06-02T00:00:00"/>
    <s v="DP3L517"/>
    <s v="Olayinka Humphrey"/>
    <s v="Ohumphrey@ymail.com"/>
    <s v="Male"/>
    <s v="PVC2023170"/>
    <s v="Standard"/>
    <n v="60"/>
    <s v="FIRST BANK"/>
    <x v="3"/>
  </r>
  <r>
    <d v="2022-06-02T00:00:00"/>
    <s v="DP2C157"/>
    <s v="Ehindero Adams"/>
    <s v="Eadams@gmail.com"/>
    <s v="Female"/>
    <s v="PVC2023161"/>
    <s v="Premium"/>
    <n v="75"/>
    <s v="UNION BANK"/>
    <x v="0"/>
  </r>
  <r>
    <d v="2022-06-03T00:00:00"/>
    <s v="DP3W447"/>
    <s v="Emerson Panovsky"/>
    <s v="Epanovsky@gmail.com"/>
    <s v="Female"/>
    <s v="PVC2023198"/>
    <s v="Gold"/>
    <n v="19"/>
    <s v="ZENITH BANK"/>
    <x v="1"/>
  </r>
  <r>
    <d v="2022-06-05T00:00:00"/>
    <s v="DP3A398"/>
    <s v="Noel Mack"/>
    <s v="Nmack@gmail.com"/>
    <s v="Male"/>
    <s v="PVC2023139"/>
    <s v="Gold"/>
    <n v="64"/>
    <s v="UNION BANK"/>
    <x v="4"/>
  </r>
  <r>
    <d v="2022-06-06T00:00:00"/>
    <s v="DP2N249"/>
    <s v="Oprah Rod"/>
    <s v="Orod@coriftech.com"/>
    <s v="Female"/>
    <s v="PVC2023192"/>
    <s v="Standard"/>
    <n v="21"/>
    <s v="FIRST BANK"/>
    <x v="2"/>
  </r>
  <r>
    <d v="2022-06-07T00:00:00"/>
    <s v="DP3T606"/>
    <s v="Emerson Panovsky"/>
    <s v="Epanovsky@gmail.com"/>
    <s v="Female"/>
    <s v="PVC2023198"/>
    <s v="Gold"/>
    <n v="19"/>
    <s v="UNITED BANK FOR AFRICA"/>
    <x v="4"/>
  </r>
  <r>
    <d v="2022-06-07T00:00:00"/>
    <s v="DP2D212"/>
    <s v="Odumosu Duke"/>
    <s v="Oduke@coriftech.com"/>
    <s v="Male"/>
    <s v="PVC2023108"/>
    <s v="Standard"/>
    <n v="48"/>
    <s v="STANBIC IBTC BANK"/>
    <x v="3"/>
  </r>
  <r>
    <d v="2022-06-08T00:00:00"/>
    <s v="DP3X530"/>
    <s v="Thomas Byrd"/>
    <s v="Tbyrd@coriftech.com"/>
    <s v="Male"/>
    <s v="PVC2023157"/>
    <s v="Gold"/>
    <n v="32"/>
    <s v="UNITED BANK FOR AFRICA"/>
    <x v="4"/>
  </r>
  <r>
    <d v="2022-06-09T00:00:00"/>
    <s v="DP3W420"/>
    <s v="Olayinka Canini"/>
    <s v="Ocanini@coriftech.com"/>
    <s v="Female"/>
    <s v="PVC2023106"/>
    <s v="Gold"/>
    <n v="45"/>
    <s v="STANBIC IBTC BANK"/>
    <x v="3"/>
  </r>
  <r>
    <d v="2022-06-10T00:00:00"/>
    <s v="DP3F484"/>
    <s v="Omolara Selhorst"/>
    <s v="Oselhorst@gmail.com"/>
    <s v="Female"/>
    <s v="PVC2023178"/>
    <s v="Standard"/>
    <n v="66"/>
    <s v="ZENITH BANK"/>
    <x v="4"/>
  </r>
  <r>
    <d v="2022-06-10T00:00:00"/>
    <s v="DP2M275"/>
    <s v="Athena Macdonald"/>
    <s v="Amacdonald@gmail.com"/>
    <s v="Male"/>
    <s v="PVC2023150"/>
    <s v="Gold"/>
    <n v="29"/>
    <s v="ACCESS BANK"/>
    <x v="2"/>
  </r>
  <r>
    <d v="2022-06-10T00:00:00"/>
    <s v="DP3E510"/>
    <s v="Ayo Vang"/>
    <s v="Avang@coriftech.com"/>
    <s v="Male"/>
    <s v="PVC2023199"/>
    <s v="Standard"/>
    <n v="44"/>
    <s v="GTBANK PLC"/>
    <x v="2"/>
  </r>
  <r>
    <d v="2022-06-12T00:00:00"/>
    <s v="DP2Q144"/>
    <s v="Rhona Mitchell"/>
    <s v="Rmitchell@gmail.com"/>
    <s v="Female"/>
    <s v="PVC2023141"/>
    <s v="Premium"/>
    <n v="72"/>
    <s v="UNION BANK"/>
    <x v="1"/>
  </r>
  <r>
    <d v="2022-06-12T00:00:00"/>
    <s v="DP3G512"/>
    <s v="Keaton Jimenez"/>
    <s v="Kjimenez@ymail.com"/>
    <s v="Female"/>
    <s v="PVC2023165"/>
    <s v="Standard"/>
    <n v="35"/>
    <s v="WEMA BANK"/>
    <x v="4"/>
  </r>
  <r>
    <d v="2022-06-12T00:00:00"/>
    <s v="DP2K138"/>
    <s v="Benedict Miller"/>
    <s v="Bmiller@gmail.com"/>
    <s v="Male"/>
    <s v="PVC2023118"/>
    <s v="Premium"/>
    <n v="36"/>
    <s v="STANDARD CHARTERED"/>
    <x v="0"/>
  </r>
  <r>
    <d v="2022-06-13T00:00:00"/>
    <s v="DP3U472"/>
    <s v="Cyrus Smith"/>
    <s v="Csmith@ymail.com"/>
    <s v="Male"/>
    <s v="PVC2023183"/>
    <s v="Standard"/>
    <n v="72"/>
    <s v="FIRST BANK"/>
    <x v="3"/>
  </r>
  <r>
    <d v="2022-06-13T00:00:00"/>
    <s v="DP3H486"/>
    <s v="Bamidele Alexander"/>
    <s v="Balexander@ymail.com"/>
    <s v="Male"/>
    <s v="PVC2023113"/>
    <s v="Premium"/>
    <n v="61"/>
    <s v="UNITED BANK FOR AFRICA"/>
    <x v="1"/>
  </r>
  <r>
    <d v="2022-06-14T00:00:00"/>
    <s v="DP2N141"/>
    <s v="Adebola Solis"/>
    <s v="Asolis@ymail.com"/>
    <s v="Female"/>
    <s v="PVC2023124"/>
    <s v="Standard"/>
    <n v="29"/>
    <s v="WEMA BANK"/>
    <x v="0"/>
  </r>
  <r>
    <d v="2022-06-15T00:00:00"/>
    <s v="DP2X152"/>
    <s v="Taoheed Abbott"/>
    <s v="Tabbott@coriftech.com"/>
    <s v="Male"/>
    <s v="PVC2023116"/>
    <s v="Standard"/>
    <n v="67"/>
    <s v="FIDELITY BANK"/>
    <x v="3"/>
  </r>
  <r>
    <d v="2022-06-16T00:00:00"/>
    <s v="DP3Z529"/>
    <s v="Isaac Matt"/>
    <s v="Imatt@gmail.com"/>
    <s v="Male"/>
    <s v="PVC2023158"/>
    <s v="Gold"/>
    <n v="74"/>
    <s v="ACCESS BANK"/>
    <x v="3"/>
  </r>
  <r>
    <d v="2022-06-18T00:00:00"/>
    <s v="DP3B561"/>
    <s v="Ehindero Adams"/>
    <s v="Eadams@gmail.com"/>
    <s v="Female"/>
    <s v="PVC2023161"/>
    <s v="Premium"/>
    <n v="75"/>
    <s v="WEMA BANK"/>
    <x v="1"/>
  </r>
  <r>
    <d v="2022-06-19T00:00:00"/>
    <s v="DP3G485"/>
    <s v="Kehinde Bush"/>
    <s v="Kbush@coriftech.com"/>
    <s v="Female"/>
    <s v="PVC2023180"/>
    <s v="Standard"/>
    <n v="48"/>
    <s v="FIDELITY BANK"/>
    <x v="0"/>
  </r>
  <r>
    <d v="2022-06-19T00:00:00"/>
    <s v="DP2W204"/>
    <s v="Oprah Rod"/>
    <s v="Orod@coriftech.com"/>
    <s v="Female"/>
    <s v="PVC2023192"/>
    <s v="Standard"/>
    <n v="21"/>
    <s v="STANBIC IBTC BANK"/>
    <x v="3"/>
  </r>
  <r>
    <d v="2022-06-23T00:00:00"/>
    <s v="DP2F268"/>
    <s v="Bakare Andrea"/>
    <s v="Bandrea@coriftech.com"/>
    <s v="Female"/>
    <s v="PVC2023117"/>
    <s v="Gold"/>
    <n v="19"/>
    <s v="STANBIC IBTC BANK"/>
    <x v="1"/>
  </r>
  <r>
    <d v="2022-06-23T00:00:00"/>
    <s v="DP2G188"/>
    <s v="Bell Juarez"/>
    <s v="Bjuarez@coriftech.com"/>
    <s v="Male"/>
    <s v="PVC2023173"/>
    <s v="Gold"/>
    <n v="71"/>
    <s v="UNION BANK"/>
    <x v="1"/>
  </r>
  <r>
    <d v="2022-06-23T00:00:00"/>
    <s v="DP3I406"/>
    <s v="Oludoye Weber"/>
    <s v="Oweber@ymail.com"/>
    <s v="Female"/>
    <s v="PVC2023196"/>
    <s v="Gold"/>
    <n v="59"/>
    <s v="ZENITH BANK"/>
    <x v="0"/>
  </r>
  <r>
    <d v="2022-06-24T00:00:00"/>
    <s v="DP3E402"/>
    <s v="Toyin Douglas"/>
    <s v="Tdouglas@gmail.com"/>
    <s v="Female"/>
    <s v="PVC2023160"/>
    <s v="Standard"/>
    <n v="50"/>
    <s v="ACCESS BANK"/>
    <x v="1"/>
  </r>
  <r>
    <d v="2022-06-24T00:00:00"/>
    <s v="DP2Z124"/>
    <s v="Cyrus Smith"/>
    <s v="Csmith@ymail.com"/>
    <s v="Male"/>
    <s v="PVC2023183"/>
    <s v="Standard"/>
    <n v="72"/>
    <s v="UNION BANK"/>
    <x v="4"/>
  </r>
  <r>
    <d v="2022-06-25T00:00:00"/>
    <s v="DP3O439"/>
    <s v="Celeste Miller"/>
    <s v="Cmiller@gmail.com"/>
    <s v="Female"/>
    <s v="PVC2023138"/>
    <s v="Premium"/>
    <n v="66"/>
    <s v="STANBIC IBTC BANK"/>
    <x v="1"/>
  </r>
  <r>
    <d v="2022-06-25T00:00:00"/>
    <s v="DP3Q549"/>
    <s v="Oprah Rod"/>
    <s v="Orod@coriftech.com"/>
    <s v="Female"/>
    <s v="PVC2023192"/>
    <s v="Standard"/>
    <n v="21"/>
    <s v="ZENITH BANK"/>
    <x v="3"/>
  </r>
  <r>
    <d v="2022-06-25T00:00:00"/>
    <s v="DP2L220"/>
    <s v="Adeniyi Chang"/>
    <s v="Achang@gmail.com"/>
    <s v="Female"/>
    <s v="PVC2023110"/>
    <s v="Premium"/>
    <n v="76"/>
    <s v="UNION BANK"/>
    <x v="1"/>
  </r>
  <r>
    <d v="2022-06-26T00:00:00"/>
    <s v="DP3U418"/>
    <s v="Adebola Solis"/>
    <s v="Asolis@ymail.com"/>
    <s v="Female"/>
    <s v="PVC2023124"/>
    <s v="Standard"/>
    <n v="29"/>
    <s v="FIDELITY BANK"/>
    <x v="3"/>
  </r>
  <r>
    <d v="2022-06-26T00:00:00"/>
    <s v="DP3W555"/>
    <s v="Athena Macdonald"/>
    <s v="Amacdonald@gmail.com"/>
    <s v="Male"/>
    <s v="PVC2023150"/>
    <s v="Gold"/>
    <n v="29"/>
    <s v="UNITED BANK FOR AFRICA"/>
    <x v="1"/>
  </r>
  <r>
    <d v="2022-06-26T00:00:00"/>
    <s v="DP2H297"/>
    <s v="Adebola Solis"/>
    <s v="Asolis@ymail.com"/>
    <s v="Female"/>
    <s v="PVC2023124"/>
    <s v="Standard"/>
    <n v="29"/>
    <s v="UNITED BANK FOR AFRICA"/>
    <x v="0"/>
  </r>
  <r>
    <d v="2022-06-28T00:00:00"/>
    <s v="DP3V473"/>
    <s v="Olaogun Gilbert"/>
    <s v="Ogilbert@gmail.com"/>
    <s v="Male"/>
    <s v="PVC2023179"/>
    <s v="Standard"/>
    <n v="22"/>
    <s v="UNITED BANK FOR AFRICA"/>
    <x v="1"/>
  </r>
  <r>
    <d v="2022-06-28T00:00:00"/>
    <s v="DP3G539"/>
    <s v="Adeniyi Weaver"/>
    <s v="Aweaver@ymail.com"/>
    <s v="Male"/>
    <s v="PVC2023105"/>
    <s v="Gold"/>
    <n v="39"/>
    <s v="ZENITH BANK"/>
    <x v="2"/>
  </r>
  <r>
    <d v="2022-06-29T00:00:00"/>
    <s v="DP2Y153"/>
    <s v="Peter Dixon"/>
    <s v="Pdixon@gmail.com"/>
    <s v="Female"/>
    <s v="PVC2023152"/>
    <s v="Standard"/>
    <n v="34"/>
    <s v="ACCESS BANK"/>
    <x v="4"/>
  </r>
  <r>
    <d v="2022-06-30T00:00:00"/>
    <s v="DP3P413"/>
    <s v="Amber Yancer"/>
    <s v="Ayancer@coriftech.com"/>
    <s v="Female"/>
    <s v="PVC2023175"/>
    <s v="Standard"/>
    <n v="22"/>
    <s v="UNITED BANK FOR AFRICA"/>
    <x v="1"/>
  </r>
  <r>
    <d v="2022-06-30T00:00:00"/>
    <s v="DP3W582"/>
    <s v="Olayinka Humphrey"/>
    <s v="Ohumphrey@ymail.com"/>
    <s v="Male"/>
    <s v="PVC2023170"/>
    <s v="Standard"/>
    <n v="60"/>
    <s v="UNITED BANK FOR AFRICA"/>
    <x v="3"/>
  </r>
  <r>
    <d v="2022-06-30T00:00:00"/>
    <s v="DP3C427"/>
    <s v="Joy Callistus"/>
    <s v="Jcallistus@gmail.com"/>
    <s v="Female"/>
    <s v="PVC2023156"/>
    <s v="Standard"/>
    <n v="36"/>
    <s v="UNION BANK"/>
    <x v="1"/>
  </r>
  <r>
    <d v="2022-07-01T00:00:00"/>
    <s v="DP3M572"/>
    <s v="Bell Juarez"/>
    <s v="Bjuarez@coriftech.com"/>
    <s v="Male"/>
    <s v="PVC2023173"/>
    <s v="Gold"/>
    <n v="71"/>
    <s v="FIDELITY BANK"/>
    <x v="3"/>
  </r>
  <r>
    <d v="2022-07-02T00:00:00"/>
    <s v="DP2V203"/>
    <s v="Odumosu Mcclure"/>
    <s v="Omcclure@gmail.com"/>
    <s v="Male"/>
    <s v="PVC2023154"/>
    <s v="Standard"/>
    <n v="60"/>
    <s v="UNION BANK"/>
    <x v="1"/>
  </r>
  <r>
    <d v="2022-07-03T00:00:00"/>
    <s v="DP2L193"/>
    <s v="Amber Yancer"/>
    <s v="Ayancer@coriftech.com"/>
    <s v="Female"/>
    <s v="PVC2023175"/>
    <s v="Standard"/>
    <n v="22"/>
    <s v="STANBIC IBTC BANK"/>
    <x v="3"/>
  </r>
  <r>
    <d v="2022-07-04T00:00:00"/>
    <s v="DP3X449"/>
    <s v="Akanteyon Knowles"/>
    <s v="Aknowles@gmail.com"/>
    <s v="Male"/>
    <s v="PVC2023184"/>
    <s v="Gold"/>
    <n v="29"/>
    <s v="UNION BANK"/>
    <x v="4"/>
  </r>
  <r>
    <d v="2022-07-04T00:00:00"/>
    <s v="DP2B183"/>
    <s v="Bamidele Alexander"/>
    <s v="Balexander@ymail.com"/>
    <s v="Male"/>
    <s v="PVC2023113"/>
    <s v="Premium"/>
    <n v="61"/>
    <s v="GTBANK PLC"/>
    <x v="3"/>
  </r>
  <r>
    <d v="2022-07-05T00:00:00"/>
    <s v="DP2H162"/>
    <s v="Saheed Thomas"/>
    <s v="Sthomas@coriftech.com"/>
    <s v="Male"/>
    <s v="PVC2023177"/>
    <s v="Standard"/>
    <n v="28"/>
    <s v="UNION BANK"/>
    <x v="1"/>
  </r>
  <r>
    <d v="2022-07-10T00:00:00"/>
    <s v="DP3G404"/>
    <s v="Deacon Cobb"/>
    <s v="Dcobb@coriftech.com"/>
    <s v="Male"/>
    <s v="PVC2023102"/>
    <s v="Gold"/>
    <n v="30"/>
    <s v="UNION BANK"/>
    <x v="3"/>
  </r>
  <r>
    <d v="2022-07-10T00:00:00"/>
    <s v="DP3C346"/>
    <s v="Agemo Barnes"/>
    <s v="Abarnes@gmail.com"/>
    <s v="Female"/>
    <s v="PVC2023136"/>
    <s v="Premium"/>
    <n v="58"/>
    <s v="STANDARD CHARTERED"/>
    <x v="1"/>
  </r>
  <r>
    <d v="2022-07-10T00:00:00"/>
    <s v="DP3H594"/>
    <s v="James Mccarty"/>
    <s v="Jmccarty@gmail.com"/>
    <s v="Male"/>
    <s v="PVC2023120"/>
    <s v="Standard"/>
    <n v="76"/>
    <s v="UNION BANK"/>
    <x v="2"/>
  </r>
  <r>
    <d v="2022-07-10T00:00:00"/>
    <s v="DP3C373"/>
    <s v="Isadora Jones"/>
    <s v="Ijones@ymail.com"/>
    <s v="Male"/>
    <s v="PVC2023171"/>
    <s v="Premium"/>
    <n v="24"/>
    <s v="STANBIC IBTC BANK"/>
    <x v="3"/>
  </r>
  <r>
    <d v="2022-07-12T00:00:00"/>
    <s v="DP3H324"/>
    <s v="Olaogun Kidd"/>
    <s v="Okidd@gmail.com"/>
    <s v="Male"/>
    <s v="PVC2023134"/>
    <s v="Premium"/>
    <n v="68"/>
    <s v="ZENITH BANK"/>
    <x v="0"/>
  </r>
  <r>
    <d v="2022-07-12T00:00:00"/>
    <s v="DP3K354"/>
    <s v="Jelani Mckinney"/>
    <s v="Jmckinney@coriftech.com"/>
    <s v="Female"/>
    <s v="PVC2023107"/>
    <s v="Gold"/>
    <n v="31"/>
    <s v="ZENITH BANK"/>
    <x v="1"/>
  </r>
  <r>
    <d v="2022-07-14T00:00:00"/>
    <s v="DP3S416"/>
    <s v="Omolara Selhorst"/>
    <s v="Oselhorst@gmail.com"/>
    <s v="Female"/>
    <s v="PVC2023178"/>
    <s v="Standard"/>
    <n v="66"/>
    <s v="STANBIC IBTC BANK"/>
    <x v="2"/>
  </r>
  <r>
    <d v="2022-07-14T00:00:00"/>
    <s v="DP3U580"/>
    <s v="Jared Dennis"/>
    <s v="Jdennis@ymail.com"/>
    <s v="Male"/>
    <s v="PVC2023162"/>
    <s v="Premium"/>
    <n v="76"/>
    <s v="FIRST BANK"/>
    <x v="0"/>
  </r>
  <r>
    <d v="2022-07-15T00:00:00"/>
    <s v="DP3J596"/>
    <s v="Sawyer Herriot"/>
    <s v="Sherriot@gmail.com"/>
    <s v="Male"/>
    <s v="PVC2023155"/>
    <s v="Standard"/>
    <n v="34"/>
    <s v="FIRST BANK"/>
    <x v="1"/>
  </r>
  <r>
    <d v="2022-07-16T00:00:00"/>
    <s v="DP3K516"/>
    <s v="Kehinde Bush"/>
    <s v="Kbush@coriftech.com"/>
    <s v="Female"/>
    <s v="PVC2023180"/>
    <s v="Standard"/>
    <n v="48"/>
    <s v="ACCESS BANK"/>
    <x v="1"/>
  </r>
  <r>
    <d v="2022-07-17T00:00:00"/>
    <s v="DP2A128"/>
    <s v="Taibat Dennis"/>
    <s v="Tdennis@gmail.com"/>
    <s v="Male"/>
    <s v="PVC2023133"/>
    <s v="Premium"/>
    <n v="37"/>
    <s v="STANBIC IBTC BANK"/>
    <x v="1"/>
  </r>
  <r>
    <d v="2022-07-17T00:00:00"/>
    <s v="DP3A452"/>
    <s v="Adeniyi Tillman"/>
    <s v="Atillman@ymail.com"/>
    <s v="Male"/>
    <s v="PVC2023119"/>
    <s v="Gold"/>
    <n v="63"/>
    <s v="ZENITH BANK"/>
    <x v="1"/>
  </r>
  <r>
    <d v="2022-07-18T00:00:00"/>
    <s v="DP2K219"/>
    <s v="Hiroko Panovsky"/>
    <s v="Hpanovsky@ymail.com"/>
    <s v="Male"/>
    <s v="PVC2023182"/>
    <s v="Standard"/>
    <n v="59"/>
    <s v="FIDELITY BANK"/>
    <x v="1"/>
  </r>
  <r>
    <d v="2022-07-20T00:00:00"/>
    <s v="DP3J353"/>
    <s v="Brittany Best"/>
    <s v="Bbest@gmail.com"/>
    <s v="Female"/>
    <s v="PVC2023125"/>
    <s v="Premium"/>
    <n v="28"/>
    <s v="UNITED BANK FOR AFRICA"/>
    <x v="1"/>
  </r>
  <r>
    <d v="2022-07-20T00:00:00"/>
    <s v="DP3B372"/>
    <s v="Bamidele Alexander"/>
    <s v="Balexander@ymail.com"/>
    <s v="Male"/>
    <s v="PVC2023113"/>
    <s v="Premium"/>
    <n v="61"/>
    <s v="UNITED BANK FOR AFRICA"/>
    <x v="1"/>
  </r>
  <r>
    <d v="2022-07-20T00:00:00"/>
    <s v="DP3I379"/>
    <s v="Adeniyi Mcconnell"/>
    <s v="Amcconnell@coriftech.com"/>
    <s v="Female"/>
    <s v="PVC2023168"/>
    <s v="Standard"/>
    <n v="32"/>
    <s v="WEMA BANK"/>
    <x v="2"/>
  </r>
  <r>
    <d v="2022-07-22T00:00:00"/>
    <s v="DP2S146"/>
    <s v="Ivory Selhorst"/>
    <s v="Iselhorst@coriftech.com"/>
    <s v="Female"/>
    <s v="PVC2023144"/>
    <s v="Premium"/>
    <n v="54"/>
    <s v="WEMA BANK"/>
    <x v="4"/>
  </r>
  <r>
    <d v="2022-07-23T00:00:00"/>
    <s v="DP3B345"/>
    <s v="Desirae Spencer"/>
    <s v="Dspencer@coriftech.com"/>
    <s v="Male"/>
    <s v="PVC2023123"/>
    <s v="Standard"/>
    <n v="59"/>
    <s v="GTBANK PLC"/>
    <x v="4"/>
  </r>
  <r>
    <d v="2022-07-24T00:00:00"/>
    <s v="DP2S119"/>
    <s v="Desirae Spencer"/>
    <s v="Dspencer@coriftech.com"/>
    <s v="Male"/>
    <s v="PVC2023123"/>
    <s v="Standard"/>
    <n v="59"/>
    <s v="ZENITH BANK"/>
    <x v="1"/>
  </r>
  <r>
    <d v="2022-07-25T00:00:00"/>
    <s v="DP2F295"/>
    <s v="Keaton Jimenez"/>
    <s v="Kjimenez@ymail.com"/>
    <s v="Female"/>
    <s v="PVC2023165"/>
    <s v="Standard"/>
    <n v="35"/>
    <s v="WEMA BANK"/>
    <x v="2"/>
  </r>
  <r>
    <d v="2022-07-25T00:00:00"/>
    <s v="DP2X179"/>
    <s v="Rhona Mitchell"/>
    <s v="Rmitchell@gmail.com"/>
    <s v="Female"/>
    <s v="PVC2023141"/>
    <s v="Premium"/>
    <n v="72"/>
    <s v="FIRST BANK"/>
    <x v="1"/>
  </r>
  <r>
    <d v="2022-07-25T00:00:00"/>
    <s v="DP3A479"/>
    <s v="Adebola Solis"/>
    <s v="Asolis@ymail.com"/>
    <s v="Female"/>
    <s v="PVC2023124"/>
    <s v="Standard"/>
    <n v="29"/>
    <s v="UNITED BANK FOR AFRICA"/>
    <x v="3"/>
  </r>
  <r>
    <d v="2022-07-27T00:00:00"/>
    <s v="DP3N411"/>
    <s v="Brett Fernandez"/>
    <s v="Bfernandez@gmail.com"/>
    <s v="Male"/>
    <s v="PVC2023191"/>
    <s v="Premium"/>
    <n v="47"/>
    <s v="UNITED BANK FOR AFRICA"/>
    <x v="1"/>
  </r>
  <r>
    <d v="2022-07-29T00:00:00"/>
    <s v="DP3Y315"/>
    <s v="Eleanor Duane"/>
    <s v="Eduane@gmail.com"/>
    <s v="Male"/>
    <s v="PVC2023195"/>
    <s v="Standard"/>
    <n v="35"/>
    <s v="FIDELITY BANK"/>
    <x v="3"/>
  </r>
  <r>
    <d v="2022-07-29T00:00:00"/>
    <s v="DP3C562"/>
    <s v="Ebuka Mercer"/>
    <s v="Emercer@ymail.com"/>
    <s v="Female"/>
    <s v="PVC2023159"/>
    <s v="Standard"/>
    <n v="24"/>
    <s v="WEMA BANK"/>
    <x v="3"/>
  </r>
  <r>
    <d v="2022-07-29T00:00:00"/>
    <s v="DP2M221"/>
    <s v="Odumosu Mcclure"/>
    <s v="Omcclure@gmail.com"/>
    <s v="Male"/>
    <s v="PVC2023154"/>
    <s v="Standard"/>
    <n v="60"/>
    <s v="UNITED BANK FOR AFRICA"/>
    <x v="1"/>
  </r>
  <r>
    <d v="2022-07-30T00:00:00"/>
    <s v="DP2G161"/>
    <s v="Athena Macdonald"/>
    <s v="Amacdonald@gmail.com"/>
    <s v="Male"/>
    <s v="PVC2023150"/>
    <s v="Gold"/>
    <n v="29"/>
    <s v="GTBANK PLC"/>
    <x v="1"/>
  </r>
  <r>
    <d v="2022-07-30T00:00:00"/>
    <s v="DP3K435"/>
    <s v="Lesly Porter"/>
    <s v="Lporter@gmail.com"/>
    <s v="Female"/>
    <s v="PVC2023137"/>
    <s v="Gold"/>
    <n v="68"/>
    <s v="STANDARD CHARTERED"/>
    <x v="3"/>
  </r>
  <r>
    <d v="2022-07-30T00:00:00"/>
    <s v="DP3Z316"/>
    <s v="Nyssa Walton"/>
    <s v="Nwalton@gmail.com"/>
    <s v="Male"/>
    <s v="PVC2023114"/>
    <s v="Gold"/>
    <n v="44"/>
    <s v="WEMA BANK"/>
    <x v="2"/>
  </r>
  <r>
    <d v="2022-08-01T00:00:00"/>
    <s v="DP2B291"/>
    <s v="Emerson Panovsky"/>
    <s v="Epanovsky@gmail.com"/>
    <s v="Female"/>
    <s v="PVC2023198"/>
    <s v="Gold"/>
    <n v="19"/>
    <s v="UNION BANK"/>
    <x v="4"/>
  </r>
  <r>
    <d v="2022-08-02T00:00:00"/>
    <s v="DP3X368"/>
    <s v="Hiroko Panovsky"/>
    <s v="Hpanovsky@ymail.com"/>
    <s v="Male"/>
    <s v="PVC2023182"/>
    <s v="Standard"/>
    <n v="59"/>
    <s v="UNION BANK"/>
    <x v="3"/>
  </r>
  <r>
    <d v="2022-08-02T00:00:00"/>
    <s v="DP3Z586"/>
    <s v="Small Orr"/>
    <s v="Sorr@gmail.com"/>
    <s v="Female"/>
    <s v="PVC2023164"/>
    <s v="Gold"/>
    <n v="40"/>
    <s v="ACCESS BANK"/>
    <x v="1"/>
  </r>
  <r>
    <d v="2022-08-02T00:00:00"/>
    <s v="DP3P575"/>
    <s v="Ayo Wise"/>
    <s v="Awise@coriftech.com"/>
    <s v="Male"/>
    <s v="PVC2023174"/>
    <s v="Standard"/>
    <n v="64"/>
    <s v="UNION BANK"/>
    <x v="1"/>
  </r>
  <r>
    <d v="2022-08-02T00:00:00"/>
    <s v="DP3I325"/>
    <s v="Adebola Ezichi"/>
    <s v="Aezichi@gmail.com"/>
    <s v="Female"/>
    <s v="PVC2023194"/>
    <s v="Standard"/>
    <n v="37"/>
    <s v="UNITED BANK FOR AFRICA"/>
    <x v="2"/>
  </r>
  <r>
    <d v="2022-08-03T00:00:00"/>
    <s v="DP3Q360"/>
    <s v="Okediran Mitchell"/>
    <s v="Omitchell@ymail.com"/>
    <s v="Female"/>
    <s v="PVC2023190"/>
    <s v="Premium"/>
    <n v="28"/>
    <s v="FIDELITY BANK"/>
    <x v="1"/>
  </r>
  <r>
    <d v="2022-08-05T00:00:00"/>
    <s v="DP2P251"/>
    <s v="Akanteyon Knowles"/>
    <s v="Aknowles@gmail.com"/>
    <s v="Male"/>
    <s v="PVC2023184"/>
    <s v="Gold"/>
    <n v="29"/>
    <s v="ZENITH BANK"/>
    <x v="1"/>
  </r>
  <r>
    <d v="2022-08-05T00:00:00"/>
    <s v="DP3Z505"/>
    <s v="Latifah Ogbonna"/>
    <s v="Logbonna@ymail.com"/>
    <s v="Male"/>
    <s v="PVC2023111"/>
    <s v="Premium"/>
    <n v="46"/>
    <s v="FIRST BANK"/>
    <x v="1"/>
  </r>
  <r>
    <d v="2022-08-07T00:00:00"/>
    <s v="DP3J542"/>
    <s v="Lael Carter"/>
    <s v="Lcarter@coriftech.com"/>
    <s v="Female"/>
    <s v="PVC2023101"/>
    <s v="Standard"/>
    <n v="26"/>
    <s v="STANDARD CHARTERED"/>
    <x v="1"/>
  </r>
  <r>
    <d v="2022-08-09T00:00:00"/>
    <s v="DP3V446"/>
    <s v="Adeniyi Weaver"/>
    <s v="Aweaver@ymail.com"/>
    <s v="Male"/>
    <s v="PVC2023105"/>
    <s v="Gold"/>
    <n v="39"/>
    <s v="UNION BANK"/>
    <x v="1"/>
  </r>
  <r>
    <d v="2022-08-10T00:00:00"/>
    <s v="DP3M545"/>
    <s v="Nell Yancer"/>
    <s v="Nyancer@gmail.com"/>
    <s v="Female"/>
    <s v="PVC2023129"/>
    <s v="Gold"/>
    <n v="29"/>
    <s v="WEMA BANK"/>
    <x v="4"/>
  </r>
  <r>
    <d v="2022-08-10T00:00:00"/>
    <s v="DP3D320"/>
    <s v="Agemo Barnes"/>
    <s v="Abarnes@gmail.com"/>
    <s v="Female"/>
    <s v="PVC2023136"/>
    <s v="Premium"/>
    <n v="58"/>
    <s v="STANBIC IBTC BANK"/>
    <x v="0"/>
  </r>
  <r>
    <d v="2022-08-11T00:00:00"/>
    <s v="DP3R415"/>
    <s v="Bamidele Alexander"/>
    <s v="Balexander@ymail.com"/>
    <s v="Male"/>
    <s v="PVC2023113"/>
    <s v="Premium"/>
    <n v="61"/>
    <s v="FIDELITY BANK"/>
    <x v="1"/>
  </r>
  <r>
    <d v="2022-08-11T00:00:00"/>
    <s v="DP3T498"/>
    <s v="Bamidele Alexander"/>
    <s v="Balexander@ymail.com"/>
    <s v="Male"/>
    <s v="PVC2023113"/>
    <s v="Premium"/>
    <n v="61"/>
    <s v="WEMA BANK"/>
    <x v="2"/>
  </r>
  <r>
    <d v="2022-08-11T00:00:00"/>
    <s v="DP3E348"/>
    <s v="Adeniyi Tillman"/>
    <s v="Atillman@ymail.com"/>
    <s v="Male"/>
    <s v="PVC2023119"/>
    <s v="Gold"/>
    <n v="63"/>
    <s v="ZENITH BANK"/>
    <x v="3"/>
  </r>
  <r>
    <d v="2022-08-11T00:00:00"/>
    <s v="DP3E321"/>
    <s v="Odumosu Duke"/>
    <s v="Oduke@coriftech.com"/>
    <s v="Male"/>
    <s v="PVC2023108"/>
    <s v="Standard"/>
    <n v="48"/>
    <s v="FIDELITY BANK"/>
    <x v="0"/>
  </r>
  <r>
    <d v="2022-08-11T00:00:00"/>
    <s v="DP2I163"/>
    <s v="Adeniyi Weaver"/>
    <s v="Aweaver@ymail.com"/>
    <s v="Male"/>
    <s v="PVC2023105"/>
    <s v="Gold"/>
    <n v="39"/>
    <s v="ACCESS BANK"/>
    <x v="4"/>
  </r>
  <r>
    <d v="2022-08-11T00:00:00"/>
    <s v="DP2Q117"/>
    <s v="Brittany Best"/>
    <s v="Bbest@gmail.com"/>
    <s v="Female"/>
    <s v="PVC2023125"/>
    <s v="Premium"/>
    <n v="28"/>
    <s v="UNION BANK"/>
    <x v="1"/>
  </r>
  <r>
    <d v="2022-08-12T00:00:00"/>
    <s v="DP3R334"/>
    <s v="Adeniyi Weaver"/>
    <s v="Aweaver@ymail.com"/>
    <s v="Male"/>
    <s v="PVC2023105"/>
    <s v="Gold"/>
    <n v="39"/>
    <s v="WEMA BANK"/>
    <x v="0"/>
  </r>
  <r>
    <d v="2022-08-12T00:00:00"/>
    <s v="DP3D374"/>
    <s v="Agemo Barnes"/>
    <s v="Abarnes@gmail.com"/>
    <s v="Female"/>
    <s v="PVC2023136"/>
    <s v="Premium"/>
    <n v="58"/>
    <s v="UNION BANK"/>
    <x v="1"/>
  </r>
  <r>
    <d v="2022-08-13T00:00:00"/>
    <s v="DP3V365"/>
    <s v="Ebuka Mercer"/>
    <s v="Emercer@ymail.com"/>
    <s v="Female"/>
    <s v="PVC2023159"/>
    <s v="Standard"/>
    <n v="24"/>
    <s v="GTBANK PLC"/>
    <x v="4"/>
  </r>
  <r>
    <d v="2022-08-14T00:00:00"/>
    <s v="DP2R118"/>
    <s v="Noel Mack"/>
    <s v="Nmack@gmail.com"/>
    <s v="Male"/>
    <s v="PVC2023139"/>
    <s v="Gold"/>
    <n v="64"/>
    <s v="WEMA BANK"/>
    <x v="3"/>
  </r>
  <r>
    <d v="2022-08-15T00:00:00"/>
    <s v="DP3T525"/>
    <s v="Okediran Mitchell"/>
    <s v="Omitchell@ymail.com"/>
    <s v="Female"/>
    <s v="PVC2023190"/>
    <s v="Premium"/>
    <n v="28"/>
    <s v="FIRST BANK"/>
    <x v="3"/>
  </r>
  <r>
    <d v="2022-08-16T00:00:00"/>
    <s v="DP3W528"/>
    <s v="Olaogun Gilbert"/>
    <s v="Ogilbert@gmail.com"/>
    <s v="Male"/>
    <s v="PVC2023179"/>
    <s v="Standard"/>
    <n v="22"/>
    <s v="ZENITH BANK"/>
    <x v="1"/>
  </r>
  <r>
    <d v="2022-08-18T00:00:00"/>
    <s v="DP3K381"/>
    <s v="Eleanor Duane"/>
    <s v="Eduane@gmail.com"/>
    <s v="Male"/>
    <s v="PVC2023195"/>
    <s v="Standard"/>
    <n v="35"/>
    <s v="UNION BANK"/>
    <x v="3"/>
  </r>
  <r>
    <d v="2022-08-19T00:00:00"/>
    <s v="DP3B399"/>
    <s v="Emerson Panovsky"/>
    <s v="Epanovsky@gmail.com"/>
    <s v="Female"/>
    <s v="PVC2023198"/>
    <s v="Gold"/>
    <n v="19"/>
    <s v="GTBANK PLC"/>
    <x v="0"/>
  </r>
  <r>
    <d v="2022-08-19T00:00:00"/>
    <s v="DP2C238"/>
    <s v="Peter Dixon"/>
    <s v="Pdixon@gmail.com"/>
    <s v="Female"/>
    <s v="PVC2023152"/>
    <s v="Standard"/>
    <n v="34"/>
    <s v="UNION BANK"/>
    <x v="0"/>
  </r>
  <r>
    <d v="2022-08-19T00:00:00"/>
    <s v="DP2R280"/>
    <s v="Robert Jones"/>
    <s v="Rjones@gmail.com"/>
    <s v="Female"/>
    <s v="PVC2023140"/>
    <s v="Standard"/>
    <n v="51"/>
    <s v="STANBIC IBTC BANK"/>
    <x v="1"/>
  </r>
  <r>
    <d v="2022-08-19T00:00:00"/>
    <s v="DP3F538"/>
    <s v="Joy Garza"/>
    <s v="Jgarza@ymail.com"/>
    <s v="Male"/>
    <s v="PVC2023147"/>
    <s v="Premium"/>
    <n v="60"/>
    <s v="FIRST BANK"/>
    <x v="3"/>
  </r>
  <r>
    <d v="2022-08-19T00:00:00"/>
    <s v="DP2Y207"/>
    <s v="Brynne Nankam"/>
    <s v="Bnankam@coriftech.com"/>
    <s v="Male"/>
    <s v="PVC2023143"/>
    <s v="Gold"/>
    <n v="64"/>
    <s v="FIRST BANK"/>
    <x v="4"/>
  </r>
  <r>
    <d v="2022-08-20T00:00:00"/>
    <s v="DP3S551"/>
    <s v="Robert Jones"/>
    <s v="Rjones@gmail.com"/>
    <s v="Female"/>
    <s v="PVC2023140"/>
    <s v="Standard"/>
    <n v="51"/>
    <s v="FIRST BANK"/>
    <x v="1"/>
  </r>
  <r>
    <d v="2022-08-20T00:00:00"/>
    <s v="DP3D401"/>
    <s v="Ayo Vang"/>
    <s v="Avang@coriftech.com"/>
    <s v="Male"/>
    <s v="PVC2023199"/>
    <s v="Standard"/>
    <n v="44"/>
    <s v="UNITED BANK FOR AFRICA"/>
    <x v="3"/>
  </r>
  <r>
    <d v="2022-08-22T00:00:00"/>
    <s v="DP2F187"/>
    <s v="Athena Macdonald"/>
    <s v="Amacdonald@gmail.com"/>
    <s v="Male"/>
    <s v="PVC2023150"/>
    <s v="Gold"/>
    <n v="29"/>
    <s v="STANDARD CHARTERED"/>
    <x v="1"/>
  </r>
  <r>
    <d v="2022-08-22T00:00:00"/>
    <s v="DP3A560"/>
    <s v="Ayo Wise"/>
    <s v="Awise@coriftech.com"/>
    <s v="Male"/>
    <s v="PVC2023174"/>
    <s v="Standard"/>
    <n v="64"/>
    <s v="ACCESS BANK"/>
    <x v="1"/>
  </r>
  <r>
    <d v="2022-08-23T00:00:00"/>
    <s v="DP3O331"/>
    <s v="Gwendolyn Apple"/>
    <s v="Gapple@ymail.com"/>
    <s v="Male"/>
    <s v="PVC2023167"/>
    <s v="Premium"/>
    <n v="41"/>
    <s v="ZENITH BANK"/>
    <x v="1"/>
  </r>
  <r>
    <d v="2022-08-24T00:00:00"/>
    <s v="DP3Z397"/>
    <s v="Peter Dixon"/>
    <s v="Pdixon@gmail.com"/>
    <s v="Female"/>
    <s v="PVC2023152"/>
    <s v="Standard"/>
    <n v="34"/>
    <s v="ACCESS BANK"/>
    <x v="2"/>
  </r>
  <r>
    <d v="2022-08-24T00:00:00"/>
    <s v="DP2V176"/>
    <s v="Adeleke Fitzpatrick"/>
    <s v="Afitzpatrick@gmail.com"/>
    <s v="Male"/>
    <s v="PVC2023148"/>
    <s v="Standard"/>
    <n v="59"/>
    <s v="ZENITH BANK"/>
    <x v="4"/>
  </r>
  <r>
    <d v="2022-08-25T00:00:00"/>
    <s v="DP3C319"/>
    <s v="Oluwafunmi James"/>
    <s v="Ojames@coriftech.com"/>
    <s v="Male"/>
    <s v="PVC2023189"/>
    <s v="Premium"/>
    <n v="48"/>
    <s v="ZENITH BANK"/>
    <x v="1"/>
  </r>
  <r>
    <d v="2022-08-25T00:00:00"/>
    <s v="DP3P521"/>
    <s v="Femi Jordan"/>
    <s v="Fjordan@coriftech.com"/>
    <s v="Female"/>
    <s v="PVC2023132"/>
    <s v="Standard"/>
    <n v="68"/>
    <s v="STANDARD CHARTERED"/>
    <x v="4"/>
  </r>
  <r>
    <d v="2022-08-26T00:00:00"/>
    <s v="DP3E429"/>
    <s v="Adebola Solis"/>
    <s v="Asolis@ymail.com"/>
    <s v="Female"/>
    <s v="PVC2023124"/>
    <s v="Standard"/>
    <n v="29"/>
    <s v="UNION BANK"/>
    <x v="4"/>
  </r>
  <r>
    <d v="2022-08-27T00:00:00"/>
    <s v="DP3U337"/>
    <s v="Ingrid Burris"/>
    <s v="Iburris@coriftech.com"/>
    <s v="Female"/>
    <s v="PVC2023128"/>
    <s v="Gold"/>
    <n v="50"/>
    <s v="UNION BANK"/>
    <x v="2"/>
  </r>
  <r>
    <d v="2022-08-27T00:00:00"/>
    <s v="DP3Q522"/>
    <s v="Adeniyi Weaver"/>
    <s v="Aweaver@ymail.com"/>
    <s v="Male"/>
    <s v="PVC2023105"/>
    <s v="Gold"/>
    <n v="39"/>
    <s v="UNION BANK"/>
    <x v="2"/>
  </r>
  <r>
    <d v="2022-08-27T00:00:00"/>
    <s v="DP3K597"/>
    <s v="Taibat Dennis"/>
    <s v="Tdennis@gmail.com"/>
    <s v="Male"/>
    <s v="PVC2023133"/>
    <s v="Premium"/>
    <n v="37"/>
    <s v="FIRST BANK"/>
    <x v="0"/>
  </r>
  <r>
    <d v="2022-08-28T00:00:00"/>
    <s v="DP2J137"/>
    <s v="Kehinde Bush"/>
    <s v="Kbush@coriftech.com"/>
    <s v="Female"/>
    <s v="PVC2023180"/>
    <s v="Standard"/>
    <n v="48"/>
    <s v="UNION BANK"/>
    <x v="0"/>
  </r>
  <r>
    <d v="2022-08-28T00:00:00"/>
    <s v="DP3N357"/>
    <s v="Athena Macdonald"/>
    <s v="Amacdonald@gmail.com"/>
    <s v="Male"/>
    <s v="PVC2023150"/>
    <s v="Gold"/>
    <n v="29"/>
    <s v="UNION BANK"/>
    <x v="4"/>
  </r>
  <r>
    <d v="2022-08-28T00:00:00"/>
    <s v="DP2I298"/>
    <s v="Taoheed Perkins"/>
    <s v="Tperkins@coriftech.com"/>
    <s v="Female"/>
    <s v="PVC2023176"/>
    <s v="Standard"/>
    <n v="73"/>
    <s v="STANBIC IBTC BANK"/>
    <x v="0"/>
  </r>
  <r>
    <d v="2022-08-29T00:00:00"/>
    <s v="DP3M356"/>
    <s v="Small Orr"/>
    <s v="Sorr@gmail.com"/>
    <s v="Female"/>
    <s v="PVC2023164"/>
    <s v="Gold"/>
    <n v="40"/>
    <s v="WEMA BANK"/>
    <x v="1"/>
  </r>
  <r>
    <d v="2022-08-30T00:00:00"/>
    <s v="DP3Z370"/>
    <s v="Lesly Porter"/>
    <s v="Lporter@gmail.com"/>
    <s v="Female"/>
    <s v="PVC2023137"/>
    <s v="Gold"/>
    <n v="68"/>
    <s v="FIRST BANK"/>
    <x v="1"/>
  </r>
  <r>
    <d v="2022-09-01T00:00:00"/>
    <s v="DP3Z478"/>
    <s v="Liberty Barnett"/>
    <s v="Lbarnett@gmail.com"/>
    <s v="Male"/>
    <s v="PVC2023103"/>
    <s v="Standard"/>
    <n v="39"/>
    <s v="ACCESS BANK"/>
    <x v="1"/>
  </r>
  <r>
    <d v="2022-09-04T00:00:00"/>
    <s v="DP2I244"/>
    <s v="Nyssa Walton"/>
    <s v="Nwalton@gmail.com"/>
    <s v="Male"/>
    <s v="PVC2023114"/>
    <s v="Gold"/>
    <n v="44"/>
    <s v="UNION BANK"/>
    <x v="1"/>
  </r>
  <r>
    <d v="2022-09-04T00:00:00"/>
    <s v="DP3R469"/>
    <s v="Winifred Ogbonna"/>
    <s v="Wogbonna@ymail.com"/>
    <s v="Female"/>
    <s v="PVC2023149"/>
    <s v="Premium"/>
    <n v="69"/>
    <s v="UNITED BANK FOR AFRICA"/>
    <x v="0"/>
  </r>
  <r>
    <d v="2022-09-04T00:00:00"/>
    <s v="DP3M464"/>
    <s v="Okediran Mitchell"/>
    <s v="Omitchell@ymail.com"/>
    <s v="Female"/>
    <s v="PVC2023190"/>
    <s v="Premium"/>
    <n v="28"/>
    <s v="UNION BANK"/>
    <x v="4"/>
  </r>
  <r>
    <d v="2022-09-05T00:00:00"/>
    <s v="DP3H540"/>
    <s v="Saheed Thomas"/>
    <s v="Sthomas@coriftech.com"/>
    <s v="Male"/>
    <s v="PVC2023177"/>
    <s v="Standard"/>
    <n v="28"/>
    <s v="UNITED BANK FOR AFRICA"/>
    <x v="1"/>
  </r>
  <r>
    <d v="2022-09-06T00:00:00"/>
    <s v="DP3B534"/>
    <s v="Emerson Panovsky"/>
    <s v="Epanovsky@gmail.com"/>
    <s v="Female"/>
    <s v="PVC2023198"/>
    <s v="Gold"/>
    <n v="19"/>
    <s v="GTBANK PLC"/>
    <x v="1"/>
  </r>
  <r>
    <d v="2022-09-06T00:00:00"/>
    <s v="DP2P197"/>
    <s v="Nyssa Walton"/>
    <s v="Nwalton@gmail.com"/>
    <s v="Male"/>
    <s v="PVC2023114"/>
    <s v="Gold"/>
    <n v="44"/>
    <s v="UNION BANK"/>
    <x v="1"/>
  </r>
  <r>
    <d v="2022-09-06T00:00:00"/>
    <s v="DP2J164"/>
    <s v="Adeniyi Weaver"/>
    <s v="Aweaver@ymail.com"/>
    <s v="Male"/>
    <s v="PVC2023105"/>
    <s v="Gold"/>
    <n v="39"/>
    <s v="UNITED BANK FOR AFRICA"/>
    <x v="1"/>
  </r>
  <r>
    <d v="2022-09-07T00:00:00"/>
    <s v="DP3S470"/>
    <s v="Fletcher Merritt"/>
    <s v="Fmerritt@gmail.com"/>
    <s v="Female"/>
    <s v="PVC2023193"/>
    <s v="Standard"/>
    <n v="66"/>
    <s v="UNITED BANK FOR AFRICA"/>
    <x v="3"/>
  </r>
  <r>
    <d v="2022-09-07T00:00:00"/>
    <s v="DP3Z475"/>
    <s v="Emerson Panovsky"/>
    <s v="Epanovsky@gmail.com"/>
    <s v="Female"/>
    <s v="PVC2023198"/>
    <s v="Gold"/>
    <n v="19"/>
    <s v="ACCESS BANK"/>
    <x v="1"/>
  </r>
  <r>
    <d v="2022-09-07T00:00:00"/>
    <s v="DP2O304"/>
    <s v="Jared Dennis"/>
    <s v="Jdennis@ymail.com"/>
    <s v="Male"/>
    <s v="PVC2023162"/>
    <s v="Premium"/>
    <n v="76"/>
    <s v="WEMA BANK"/>
    <x v="3"/>
  </r>
  <r>
    <d v="2022-09-07T00:00:00"/>
    <s v="DP2H243"/>
    <s v="Taibat Dennis"/>
    <s v="Tdennis@gmail.com"/>
    <s v="Male"/>
    <s v="PVC2023133"/>
    <s v="Premium"/>
    <n v="37"/>
    <s v="FIRST BANK"/>
    <x v="3"/>
  </r>
  <r>
    <d v="2022-09-08T00:00:00"/>
    <s v="DP2O142"/>
    <s v="Okediran Mitchell"/>
    <s v="Omitchell@ymail.com"/>
    <s v="Female"/>
    <s v="PVC2023190"/>
    <s v="Premium"/>
    <n v="28"/>
    <s v="ZENITH BANK"/>
    <x v="1"/>
  </r>
  <r>
    <d v="2022-09-08T00:00:00"/>
    <s v="DP2D293"/>
    <s v="Joy Callistus"/>
    <s v="Jcallistus@gmail.com"/>
    <s v="Female"/>
    <s v="PVC2023156"/>
    <s v="Standard"/>
    <n v="36"/>
    <s v="ZENITH BANK"/>
    <x v="3"/>
  </r>
  <r>
    <d v="2022-09-09T00:00:00"/>
    <s v="DP2B264"/>
    <s v="Omolara Ferris"/>
    <s v="Oferris@gmail.com"/>
    <s v="Female"/>
    <s v="PVC2023185"/>
    <s v="Standard"/>
    <n v="25"/>
    <s v="UNION BANK"/>
    <x v="3"/>
  </r>
  <r>
    <d v="2022-09-10T00:00:00"/>
    <s v="DP2H189"/>
    <s v="Oluwafunmi James"/>
    <s v="Ojames@coriftech.com"/>
    <s v="Male"/>
    <s v="PVC2023189"/>
    <s v="Premium"/>
    <n v="48"/>
    <s v="STANDARD CHARTERED"/>
    <x v="3"/>
  </r>
  <r>
    <d v="2022-09-11T00:00:00"/>
    <s v="DP3O385"/>
    <s v="Hiroko Panovsky"/>
    <s v="Hpanovsky@ymail.com"/>
    <s v="Male"/>
    <s v="PVC2023182"/>
    <s v="Standard"/>
    <n v="59"/>
    <s v="STANDARD CHARTERED"/>
    <x v="3"/>
  </r>
  <r>
    <d v="2022-09-12T00:00:00"/>
    <s v="DP3U607"/>
    <s v="Oludaisi Johnson"/>
    <s v="Ojohnson@coriftech.com"/>
    <s v="Female"/>
    <s v="PVC2023122"/>
    <s v="Gold"/>
    <n v="45"/>
    <s v="FIRST BANK"/>
    <x v="2"/>
  </r>
  <r>
    <d v="2022-09-12T00:00:00"/>
    <s v="DP2T174"/>
    <s v="Odumosu Duke"/>
    <s v="Oduke@coriftech.com"/>
    <s v="Male"/>
    <s v="PVC2023108"/>
    <s v="Standard"/>
    <n v="48"/>
    <s v="ZENITH BANK"/>
    <x v="4"/>
  </r>
  <r>
    <d v="2022-09-12T00:00:00"/>
    <s v="DP3Z556"/>
    <s v="Ivory Selhorst"/>
    <s v="Iselhorst@coriftech.com"/>
    <s v="Female"/>
    <s v="PVC2023144"/>
    <s v="Premium"/>
    <n v="54"/>
    <s v="FIRST BANK"/>
    <x v="3"/>
  </r>
  <r>
    <d v="2022-09-13T00:00:00"/>
    <s v="DP3K462"/>
    <s v="Odumosu Duke"/>
    <s v="Oduke@coriftech.com"/>
    <s v="Male"/>
    <s v="PVC2023108"/>
    <s v="Standard"/>
    <n v="48"/>
    <s v="UNITED BANK FOR AFRICA"/>
    <x v="0"/>
  </r>
  <r>
    <d v="2022-09-15T00:00:00"/>
    <s v="DP3S308"/>
    <s v="Noel Mack"/>
    <s v="Nmack@gmail.com"/>
    <s v="Male"/>
    <s v="PVC2023139"/>
    <s v="Gold"/>
    <n v="64"/>
    <s v="ACCESS BANK"/>
    <x v="0"/>
  </r>
  <r>
    <d v="2022-09-16T00:00:00"/>
    <s v="DP3E564"/>
    <s v="Sawyer Herriot"/>
    <s v="Sherriot@gmail.com"/>
    <s v="Male"/>
    <s v="PVC2023155"/>
    <s v="Standard"/>
    <n v="34"/>
    <s v="UNITED BANK FOR AFRICA"/>
    <x v="3"/>
  </r>
  <r>
    <d v="2022-09-17T00:00:00"/>
    <s v="DP3P359"/>
    <s v="Bakare Andrea"/>
    <s v="Bandrea@coriftech.com"/>
    <s v="Female"/>
    <s v="PVC2023117"/>
    <s v="Gold"/>
    <n v="19"/>
    <s v="ACCESS BANK"/>
    <x v="4"/>
  </r>
  <r>
    <d v="2022-09-17T00:00:00"/>
    <s v="DP3Y450"/>
    <s v="Emerson Panovsky"/>
    <s v="Epanovsky@gmail.com"/>
    <s v="Female"/>
    <s v="PVC2023198"/>
    <s v="Gold"/>
    <n v="19"/>
    <s v="FIRST BANK"/>
    <x v="3"/>
  </r>
  <r>
    <d v="2022-09-17T00:00:00"/>
    <s v="DP3H432"/>
    <s v="Fasinu Adams"/>
    <s v="Fadams@ymail.com"/>
    <s v="Male"/>
    <s v="PVC2023172"/>
    <s v="Standard"/>
    <n v="50"/>
    <s v="STANBIC IBTC BANK"/>
    <x v="1"/>
  </r>
  <r>
    <d v="2022-09-17T00:00:00"/>
    <s v="DP2N222"/>
    <s v="Isaac Matt"/>
    <s v="Imatt@gmail.com"/>
    <s v="Male"/>
    <s v="PVC2023158"/>
    <s v="Gold"/>
    <n v="74"/>
    <s v="UNION BANK"/>
    <x v="3"/>
  </r>
  <r>
    <d v="2022-09-18T00:00:00"/>
    <s v="DP2W150"/>
    <s v="Bell Juarez"/>
    <s v="Bjuarez@coriftech.com"/>
    <s v="Male"/>
    <s v="PVC2023173"/>
    <s v="Gold"/>
    <n v="71"/>
    <s v="ACCESS BANK"/>
    <x v="1"/>
  </r>
  <r>
    <d v="2022-09-19T00:00:00"/>
    <s v="DP2J299"/>
    <s v="Nyssa Walton"/>
    <s v="Nwalton@gmail.com"/>
    <s v="Male"/>
    <s v="PVC2023114"/>
    <s v="Gold"/>
    <n v="44"/>
    <s v="UNITED BANK FOR AFRICA"/>
    <x v="1"/>
  </r>
  <r>
    <d v="2022-09-19T00:00:00"/>
    <s v="DP2T282"/>
    <s v="Odumosu Duke"/>
    <s v="Oduke@coriftech.com"/>
    <s v="Male"/>
    <s v="PVC2023108"/>
    <s v="Standard"/>
    <n v="48"/>
    <s v="ACCESS BANK"/>
    <x v="0"/>
  </r>
  <r>
    <d v="2022-09-20T00:00:00"/>
    <s v="DP2X125"/>
    <s v="Ayo Vang"/>
    <s v="Avang@coriftech.com"/>
    <s v="Male"/>
    <s v="PVC2023199"/>
    <s v="Standard"/>
    <n v="44"/>
    <s v="UNION BANK"/>
    <x v="0"/>
  </r>
  <r>
    <d v="2022-09-20T00:00:00"/>
    <s v="DP2A182"/>
    <s v="Gwendolyn Apple"/>
    <s v="Gapple@ymail.com"/>
    <s v="Male"/>
    <s v="PVC2023167"/>
    <s v="Premium"/>
    <n v="41"/>
    <s v="ZENITH BANK"/>
    <x v="0"/>
  </r>
  <r>
    <d v="2022-09-22T00:00:00"/>
    <s v="DP3U364"/>
    <s v="Toyin Douglas"/>
    <s v="Tdouglas@gmail.com"/>
    <s v="Female"/>
    <s v="PVC2023160"/>
    <s v="Standard"/>
    <n v="50"/>
    <s v="ACCESS BANK"/>
    <x v="2"/>
  </r>
  <r>
    <d v="2022-09-23T00:00:00"/>
    <s v="DP2J191"/>
    <s v="Odumosu Duke"/>
    <s v="Oduke@coriftech.com"/>
    <s v="Male"/>
    <s v="PVC2023108"/>
    <s v="Standard"/>
    <n v="48"/>
    <s v="UNION BANK"/>
    <x v="3"/>
  </r>
  <r>
    <d v="2022-09-27T00:00:00"/>
    <s v="DP2V149"/>
    <s v="Fasinu Guzzo"/>
    <s v="Fguzzo@ymail.com"/>
    <s v="Male"/>
    <s v="PVC2023153"/>
    <s v="Standard"/>
    <n v="61"/>
    <s v="WEMA BANK"/>
    <x v="1"/>
  </r>
  <r>
    <d v="2022-09-27T00:00:00"/>
    <s v="DP3S497"/>
    <s v="Cyrus Smith"/>
    <s v="Csmith@ymail.com"/>
    <s v="Male"/>
    <s v="PVC2023183"/>
    <s v="Standard"/>
    <n v="72"/>
    <s v="STANDARD CHARTERED"/>
    <x v="2"/>
  </r>
  <r>
    <d v="2022-09-29T00:00:00"/>
    <s v="DP2D158"/>
    <s v="Ebuka Mercer"/>
    <s v="Emercer@ymail.com"/>
    <s v="Female"/>
    <s v="PVC2023159"/>
    <s v="Standard"/>
    <n v="24"/>
    <s v="STANDARD CHARTERED"/>
    <x v="2"/>
  </r>
  <r>
    <d v="2022-09-30T00:00:00"/>
    <s v="DP3R523"/>
    <s v="Emerson Panovsky"/>
    <s v="Epanovsky@gmail.com"/>
    <s v="Female"/>
    <s v="PVC2023198"/>
    <s v="Gold"/>
    <n v="19"/>
    <s v="UNION BANK"/>
    <x v="4"/>
  </r>
  <r>
    <d v="2022-10-01T00:00:00"/>
    <s v="DP2K192"/>
    <s v="Odumosu Duke"/>
    <s v="Oduke@coriftech.com"/>
    <s v="Male"/>
    <s v="PVC2023108"/>
    <s v="Standard"/>
    <n v="48"/>
    <s v="FIDELITY BANK"/>
    <x v="3"/>
  </r>
  <r>
    <d v="2022-10-01T00:00:00"/>
    <s v="DP2E105"/>
    <s v="Latifah Ogbonna"/>
    <s v="Logbonna@ymail.com"/>
    <s v="Male"/>
    <s v="PVC2023111"/>
    <s v="Premium"/>
    <n v="46"/>
    <s v="FIRST BANK"/>
    <x v="2"/>
  </r>
  <r>
    <d v="2022-10-02T00:00:00"/>
    <s v="DP2Y288"/>
    <s v="James Mccarty"/>
    <s v="Jmccarty@gmail.com"/>
    <s v="Male"/>
    <s v="PVC2023120"/>
    <s v="Standard"/>
    <n v="76"/>
    <s v="UNION BANK"/>
    <x v="1"/>
  </r>
  <r>
    <d v="2022-10-04T00:00:00"/>
    <s v="DP3Q495"/>
    <s v="Winifred Ogbonna"/>
    <s v="Wogbonna@ymail.com"/>
    <s v="Female"/>
    <s v="PVC2023149"/>
    <s v="Premium"/>
    <n v="69"/>
    <s v="FIDELITY BANK"/>
    <x v="2"/>
  </r>
  <r>
    <d v="2022-10-04T00:00:00"/>
    <s v="DP3J461"/>
    <s v="Lael Carter"/>
    <s v="Lcarter@coriftech.com"/>
    <s v="Female"/>
    <s v="PVC2023101"/>
    <s v="Standard"/>
    <n v="26"/>
    <s v="STANBIC IBTC BANK"/>
    <x v="3"/>
  </r>
  <r>
    <d v="2022-10-07T00:00:00"/>
    <s v="DP3Q603"/>
    <s v="Brittany Best"/>
    <s v="Bbest@gmail.com"/>
    <s v="Female"/>
    <s v="PVC2023125"/>
    <s v="Premium"/>
    <n v="28"/>
    <s v="UNITED BANK FOR AFRICA"/>
    <x v="2"/>
  </r>
  <r>
    <d v="2022-10-07T00:00:00"/>
    <s v="DP2U121"/>
    <s v="Taoheed Perkins"/>
    <s v="Tperkins@coriftech.com"/>
    <s v="Female"/>
    <s v="PVC2023176"/>
    <s v="Standard"/>
    <n v="73"/>
    <s v="STANDARD CHARTERED"/>
    <x v="1"/>
  </r>
  <r>
    <d v="2022-10-08T00:00:00"/>
    <s v="DP2N276"/>
    <s v="Maite Cortez"/>
    <s v="Mcortez@coriftech.com"/>
    <s v="Female"/>
    <s v="PVC2023121"/>
    <s v="Gold"/>
    <n v="26"/>
    <s v="UNITED BANK FOR AFRICA"/>
    <x v="2"/>
  </r>
  <r>
    <d v="2022-10-10T00:00:00"/>
    <s v="DP3N573"/>
    <s v="Taoheed Abbott"/>
    <s v="Tabbott@coriftech.com"/>
    <s v="Male"/>
    <s v="PVC2023116"/>
    <s v="Standard"/>
    <n v="67"/>
    <s v="UNITED BANK FOR AFRICA"/>
    <x v="3"/>
  </r>
  <r>
    <d v="2022-10-11T00:00:00"/>
    <s v="DP3T552"/>
    <s v="Bamidele Alexander"/>
    <s v="Balexander@ymail.com"/>
    <s v="Male"/>
    <s v="PVC2023113"/>
    <s v="Premium"/>
    <n v="61"/>
    <s v="UNITED BANK FOR AFRICA"/>
    <x v="1"/>
  </r>
  <r>
    <d v="2022-10-11T00:00:00"/>
    <s v="DP3P602"/>
    <s v="Adeniyi Chang"/>
    <s v="Achang@gmail.com"/>
    <s v="Female"/>
    <s v="PVC2023110"/>
    <s v="Premium"/>
    <n v="76"/>
    <s v="ZENITH BANK"/>
    <x v="0"/>
  </r>
  <r>
    <d v="2022-10-11T00:00:00"/>
    <s v="DP3C481"/>
    <s v="Odumosu Duke"/>
    <s v="Oduke@coriftech.com"/>
    <s v="Male"/>
    <s v="PVC2023108"/>
    <s v="Standard"/>
    <n v="48"/>
    <s v="FIRST BANK"/>
    <x v="3"/>
  </r>
  <r>
    <d v="2022-10-11T00:00:00"/>
    <s v="DP3P548"/>
    <s v="Uriel Adams"/>
    <s v="Uadams@gmail.com"/>
    <s v="Female"/>
    <s v="PVC2023169"/>
    <s v="Standard"/>
    <n v="48"/>
    <s v="UNION BANK"/>
    <x v="2"/>
  </r>
  <r>
    <d v="2022-10-12T00:00:00"/>
    <s v="DP3B588"/>
    <s v="Olaogun Gilbert"/>
    <s v="Ogilbert@gmail.com"/>
    <s v="Male"/>
    <s v="PVC2023179"/>
    <s v="Standard"/>
    <n v="22"/>
    <s v="ZENITH BANK"/>
    <x v="3"/>
  </r>
  <r>
    <d v="2022-10-14T00:00:00"/>
    <s v="DP2E294"/>
    <s v="Adeniyi Mcconnell"/>
    <s v="Amcconnell@coriftech.com"/>
    <s v="Female"/>
    <s v="PVC2023168"/>
    <s v="Standard"/>
    <n v="32"/>
    <s v="UNION BANK"/>
    <x v="4"/>
  </r>
  <r>
    <d v="2022-10-15T00:00:00"/>
    <s v="DP3B453"/>
    <s v="Adeniyi Mcconnell"/>
    <s v="Amcconnell@coriftech.com"/>
    <s v="Female"/>
    <s v="PVC2023168"/>
    <s v="Standard"/>
    <n v="32"/>
    <s v="GTBANK PLC"/>
    <x v="1"/>
  </r>
  <r>
    <d v="2022-10-16T00:00:00"/>
    <s v="DP2D104"/>
    <s v="Odumosu Duke"/>
    <s v="Oduke@coriftech.com"/>
    <s v="Male"/>
    <s v="PVC2023108"/>
    <s v="Standard"/>
    <n v="48"/>
    <s v="UNION BANK"/>
    <x v="1"/>
  </r>
  <r>
    <d v="2022-10-16T00:00:00"/>
    <s v="DP2P224"/>
    <s v="Brynne Nankam"/>
    <s v="Bnankam@coriftech.com"/>
    <s v="Male"/>
    <s v="PVC2023143"/>
    <s v="Gold"/>
    <n v="64"/>
    <s v="UNITED BANK FOR AFRICA"/>
    <x v="1"/>
  </r>
  <r>
    <d v="2022-10-17T00:00:00"/>
    <s v="DP2V230"/>
    <s v="Mercedes Selhorst"/>
    <s v="Mselhorst@gmail.com"/>
    <s v="Female"/>
    <s v="PVC2023115"/>
    <s v="Premium"/>
    <n v="68"/>
    <s v="FIRST BANK"/>
    <x v="1"/>
  </r>
  <r>
    <d v="2022-10-17T00:00:00"/>
    <s v="DP3C454"/>
    <s v="Taibat Dennis"/>
    <s v="Tdennis@gmail.com"/>
    <s v="Male"/>
    <s v="PVC2023133"/>
    <s v="Premium"/>
    <n v="37"/>
    <s v="FIDELITY BANK"/>
    <x v="2"/>
  </r>
  <r>
    <d v="2022-10-19T00:00:00"/>
    <s v="DP2Q252"/>
    <s v="Olayinka Canini"/>
    <s v="Ocanini@coriftech.com"/>
    <s v="Female"/>
    <s v="PVC2023106"/>
    <s v="Gold"/>
    <n v="45"/>
    <s v="UNITED BANK FOR AFRICA"/>
    <x v="3"/>
  </r>
  <r>
    <d v="2022-10-19T00:00:00"/>
    <s v="DP2Y126"/>
    <s v="Temilade Knapp"/>
    <s v="Tknapp@ymail.com"/>
    <s v="Female"/>
    <s v="PVC2023187"/>
    <s v="Premium"/>
    <n v="61"/>
    <s v="STANDARD CHARTERED"/>
    <x v="3"/>
  </r>
  <r>
    <d v="2022-10-19T00:00:00"/>
    <s v="DP2X206"/>
    <s v="Akanteyon Williams"/>
    <s v="Awilliams@coriftech.com"/>
    <s v="Female"/>
    <s v="PVC2023163"/>
    <s v="Gold"/>
    <n v="25"/>
    <s v="STANDARD CHARTERED"/>
    <x v="2"/>
  </r>
  <r>
    <d v="2022-10-20T00:00:00"/>
    <s v="DP2F160"/>
    <s v="Saheed Thomas"/>
    <s v="Sthomas@coriftech.com"/>
    <s v="Male"/>
    <s v="PVC2023177"/>
    <s v="Standard"/>
    <n v="28"/>
    <s v="UNITED BANK FOR AFRICA"/>
    <x v="2"/>
  </r>
  <r>
    <d v="2022-10-20T00:00:00"/>
    <s v="DP2U175"/>
    <s v="Fasinu Guzzo"/>
    <s v="Fguzzo@ymail.com"/>
    <s v="Male"/>
    <s v="PVC2023153"/>
    <s v="Standard"/>
    <n v="61"/>
    <s v="ACCESS BANK"/>
    <x v="1"/>
  </r>
  <r>
    <d v="2022-10-20T00:00:00"/>
    <s v="DP3F349"/>
    <s v="Lani Key"/>
    <s v="Lkey@coriftech.com"/>
    <s v="Female"/>
    <s v="PVC2023130"/>
    <s v="Premium"/>
    <n v="31"/>
    <s v="FIRST BANK"/>
    <x v="3"/>
  </r>
  <r>
    <d v="2022-10-22T00:00:00"/>
    <s v="DP2X260"/>
    <s v="Brynne Nankam"/>
    <s v="Bnankam@coriftech.com"/>
    <s v="Male"/>
    <s v="PVC2023143"/>
    <s v="Gold"/>
    <n v="64"/>
    <s v="ACCESS BANK"/>
    <x v="3"/>
  </r>
  <r>
    <d v="2022-10-23T00:00:00"/>
    <s v="DP2D185"/>
    <s v="James Mccarty"/>
    <s v="Jmccarty@gmail.com"/>
    <s v="Male"/>
    <s v="PVC2023120"/>
    <s v="Standard"/>
    <n v="76"/>
    <s v="STANBIC IBTC BANK"/>
    <x v="1"/>
  </r>
  <r>
    <d v="2022-10-26T00:00:00"/>
    <s v="DP3P494"/>
    <s v="Leonard Gilbert"/>
    <s v="Lgilbert@coriftech.com"/>
    <s v="Male"/>
    <s v="PVC2023186"/>
    <s v="Standard"/>
    <n v="40"/>
    <s v="FIRST BANK"/>
    <x v="3"/>
  </r>
  <r>
    <d v="2022-10-27T00:00:00"/>
    <s v="DP3A425"/>
    <s v="Nyssa Walton"/>
    <s v="Nwalton@gmail.com"/>
    <s v="Male"/>
    <s v="PVC2023114"/>
    <s v="Gold"/>
    <n v="44"/>
    <s v="UNION BANK"/>
    <x v="1"/>
  </r>
  <r>
    <d v="2022-10-30T00:00:00"/>
    <s v="DP3Y585"/>
    <s v="Olayinka Canini"/>
    <s v="Ocanini@coriftech.com"/>
    <s v="Female"/>
    <s v="PVC2023106"/>
    <s v="Gold"/>
    <n v="45"/>
    <s v="STANBIC IBTC BANK"/>
    <x v="2"/>
  </r>
  <r>
    <d v="2022-10-31T00:00:00"/>
    <s v="DP3B426"/>
    <s v="Isadora Jones"/>
    <s v="Ijones@ymail.com"/>
    <s v="Male"/>
    <s v="PVC2023171"/>
    <s v="Premium"/>
    <n v="24"/>
    <s v="FIDELITY BANK"/>
    <x v="0"/>
  </r>
  <r>
    <d v="2022-10-31T00:00:00"/>
    <s v="DP3K327"/>
    <s v="Celeste Miller"/>
    <s v="Cmiller@gmail.com"/>
    <s v="Female"/>
    <s v="PVC2023138"/>
    <s v="Premium"/>
    <n v="66"/>
    <s v="WEMA BANK"/>
    <x v="3"/>
  </r>
  <r>
    <d v="2022-11-01T00:00:00"/>
    <s v="DP3M410"/>
    <s v="Adeleke Fitzpatrick"/>
    <s v="Afitzpatrick@gmail.com"/>
    <s v="Male"/>
    <s v="PVC2023148"/>
    <s v="Standard"/>
    <n v="59"/>
    <s v="UNITED BANK FOR AFRICA"/>
    <x v="2"/>
  </r>
  <r>
    <d v="2022-11-01T00:00:00"/>
    <s v="DP2L112"/>
    <s v="Athena Macdonald"/>
    <s v="Amacdonald@gmail.com"/>
    <s v="Male"/>
    <s v="PVC2023150"/>
    <s v="Gold"/>
    <n v="29"/>
    <s v="FIRST BANK"/>
    <x v="4"/>
  </r>
  <r>
    <d v="2022-11-03T00:00:00"/>
    <s v="DP2I109"/>
    <s v="Amber Yancer"/>
    <s v="Ayancer@coriftech.com"/>
    <s v="Female"/>
    <s v="PVC2023175"/>
    <s v="Standard"/>
    <n v="22"/>
    <s v="STANDARD CHARTERED"/>
    <x v="0"/>
  </r>
  <r>
    <d v="2022-11-04T00:00:00"/>
    <s v="DP2R172"/>
    <s v="Aretha Perkins"/>
    <s v="Aperkins@coriftech.com"/>
    <s v="Female"/>
    <s v="PVC2023135"/>
    <s v="Standard"/>
    <n v="23"/>
    <s v="FIDELITY BANK"/>
    <x v="3"/>
  </r>
  <r>
    <d v="2022-11-04T00:00:00"/>
    <s v="DP3N330"/>
    <s v="Latifah Ogbonna"/>
    <s v="Logbonna@ymail.com"/>
    <s v="Male"/>
    <s v="PVC2023111"/>
    <s v="Premium"/>
    <n v="46"/>
    <s v="UNION BANK"/>
    <x v="1"/>
  </r>
  <r>
    <d v="2022-11-05T00:00:00"/>
    <s v="DP3H513"/>
    <s v="Small Orr"/>
    <s v="Sorr@gmail.com"/>
    <s v="Female"/>
    <s v="PVC2023164"/>
    <s v="Gold"/>
    <n v="40"/>
    <s v="UNITED BANK FOR AFRICA"/>
    <x v="2"/>
  </r>
  <r>
    <d v="2022-11-05T00:00:00"/>
    <s v="DP2C103"/>
    <s v="Olaogun Kidd"/>
    <s v="Okidd@gmail.com"/>
    <s v="Male"/>
    <s v="PVC2023134"/>
    <s v="Premium"/>
    <n v="68"/>
    <s v="STANBIC IBTC BANK"/>
    <x v="3"/>
  </r>
  <r>
    <d v="2022-11-05T00:00:00"/>
    <s v="DP3Y477"/>
    <s v="Omolara Ferris"/>
    <s v="Oferris@gmail.com"/>
    <s v="Female"/>
    <s v="PVC2023185"/>
    <s v="Standard"/>
    <n v="25"/>
    <s v="ZENITH BANK"/>
    <x v="1"/>
  </r>
  <r>
    <d v="2022-11-06T00:00:00"/>
    <s v="DP3U499"/>
    <s v="Keaton Jimenez"/>
    <s v="Kjimenez@ymail.com"/>
    <s v="Female"/>
    <s v="PVC2023165"/>
    <s v="Standard"/>
    <n v="35"/>
    <s v="STANBIC IBTC BANK"/>
    <x v="0"/>
  </r>
  <r>
    <d v="2022-11-06T00:00:00"/>
    <s v="DP2X287"/>
    <s v="Ayo Ezichi"/>
    <s v="Aezichi@coriftech.com"/>
    <s v="Male"/>
    <s v="PVC2023131"/>
    <s v="Standard"/>
    <n v="40"/>
    <s v="STANDARD CHARTERED"/>
    <x v="3"/>
  </r>
  <r>
    <d v="2022-11-06T00:00:00"/>
    <s v="DP3N600"/>
    <s v="Ayo Ezichi"/>
    <s v="Aezichi@coriftech.com"/>
    <s v="Male"/>
    <s v="PVC2023131"/>
    <s v="Standard"/>
    <n v="40"/>
    <s v="GTBANK PLC"/>
    <x v="3"/>
  </r>
  <r>
    <d v="2022-11-07T00:00:00"/>
    <s v="DP2E132"/>
    <s v="Odumosu Mcclure"/>
    <s v="Omcclure@gmail.com"/>
    <s v="Male"/>
    <s v="PVC2023154"/>
    <s v="Standard"/>
    <n v="60"/>
    <s v="UNION BANK"/>
    <x v="0"/>
  </r>
  <r>
    <d v="2022-11-07T00:00:00"/>
    <s v="DP3Z394"/>
    <s v="Hiroko Panovsky"/>
    <s v="Hpanovsky@ymail.com"/>
    <s v="Male"/>
    <s v="PVC2023182"/>
    <s v="Standard"/>
    <n v="59"/>
    <s v="FIRST BANK"/>
    <x v="3"/>
  </r>
  <r>
    <d v="2022-11-08T00:00:00"/>
    <s v="DP3P386"/>
    <s v="Femi Jordan"/>
    <s v="Fjordan@coriftech.com"/>
    <s v="Female"/>
    <s v="PVC2023132"/>
    <s v="Standard"/>
    <n v="68"/>
    <s v="UNION BANK"/>
    <x v="1"/>
  </r>
  <r>
    <d v="2022-11-08T00:00:00"/>
    <s v="DP3N519"/>
    <s v="Adebola Ezichi"/>
    <s v="Aezichi@gmail.com"/>
    <s v="Female"/>
    <s v="PVC2023194"/>
    <s v="Standard"/>
    <n v="37"/>
    <s v="STANDARD CHARTERED"/>
    <x v="1"/>
  </r>
  <r>
    <d v="2022-11-09T00:00:00"/>
    <s v="DP3S524"/>
    <s v="Oludaisi Johnson"/>
    <s v="Ojohnson@coriftech.com"/>
    <s v="Female"/>
    <s v="PVC2023122"/>
    <s v="Gold"/>
    <n v="45"/>
    <s v="UNION BANK"/>
    <x v="3"/>
  </r>
  <r>
    <d v="2022-11-10T00:00:00"/>
    <s v="DP2R253"/>
    <s v="Robert Jones"/>
    <s v="Rjones@gmail.com"/>
    <s v="Female"/>
    <s v="PVC2023140"/>
    <s v="Standard"/>
    <n v="51"/>
    <s v="UNION BANK"/>
    <x v="0"/>
  </r>
  <r>
    <d v="2022-11-11T00:00:00"/>
    <s v="DP2G242"/>
    <s v="Gwendolyn Apple"/>
    <s v="Gapple@ymail.com"/>
    <s v="Male"/>
    <s v="PVC2023167"/>
    <s v="Premium"/>
    <n v="41"/>
    <s v="FIRST BANK"/>
    <x v="4"/>
  </r>
  <r>
    <d v="2022-11-11T00:00:00"/>
    <s v="DP2Q225"/>
    <s v="Ebuka Mercer"/>
    <s v="Emercer@ymail.com"/>
    <s v="Female"/>
    <s v="PVC2023159"/>
    <s v="Standard"/>
    <n v="24"/>
    <s v="UNION BANK"/>
    <x v="3"/>
  </r>
  <r>
    <d v="2022-11-12T00:00:00"/>
    <s v="DP2O223"/>
    <s v="Adeleke Fitzpatrick"/>
    <s v="Afitzpatrick@gmail.com"/>
    <s v="Male"/>
    <s v="PVC2023148"/>
    <s v="Standard"/>
    <n v="59"/>
    <s v="GTBANK PLC"/>
    <x v="1"/>
  </r>
  <r>
    <d v="2022-11-13T00:00:00"/>
    <s v="DP3V311"/>
    <s v="Petra Panovsky"/>
    <s v="Ppanovsky@coriftech.com"/>
    <s v="Female"/>
    <s v="PVC2023146"/>
    <s v="Standard"/>
    <n v="59"/>
    <s v="GTBANK PLC"/>
    <x v="1"/>
  </r>
  <r>
    <d v="2022-11-16T00:00:00"/>
    <s v="DP3K543"/>
    <s v="Nell Yancer"/>
    <s v="Nyancer@gmail.com"/>
    <s v="Female"/>
    <s v="PVC2023129"/>
    <s v="Gold"/>
    <n v="29"/>
    <s v="WEMA BANK"/>
    <x v="3"/>
  </r>
  <r>
    <d v="2022-11-16T00:00:00"/>
    <s v="DP3A587"/>
    <s v="Adeniyi Chang"/>
    <s v="Achang@gmail.com"/>
    <s v="Female"/>
    <s v="PVC2023110"/>
    <s v="Premium"/>
    <n v="76"/>
    <s v="FIRST BANK"/>
    <x v="3"/>
  </r>
  <r>
    <d v="2022-11-17T00:00:00"/>
    <s v="DP3I433"/>
    <s v="Adeniyi Mcconnell"/>
    <s v="Amcconnell@coriftech.com"/>
    <s v="Female"/>
    <s v="PVC2023168"/>
    <s v="Standard"/>
    <n v="32"/>
    <s v="FIRST BANK"/>
    <x v="3"/>
  </r>
  <r>
    <d v="2022-11-17T00:00:00"/>
    <s v="DP2Z286"/>
    <s v="Joy Callistus"/>
    <s v="Jcallistus@gmail.com"/>
    <s v="Female"/>
    <s v="PVC2023156"/>
    <s v="Standard"/>
    <n v="36"/>
    <s v="UNITED BANK FOR AFRICA"/>
    <x v="2"/>
  </r>
  <r>
    <d v="2022-11-17T00:00:00"/>
    <s v="DP3O574"/>
    <s v="Saheed Warner"/>
    <s v="Swarner@gmail.com"/>
    <s v="Female"/>
    <s v="PVC2023151"/>
    <s v="Gold"/>
    <n v="72"/>
    <s v="UNITED BANK FOR AFRICA"/>
    <x v="4"/>
  </r>
  <r>
    <d v="2022-11-18T00:00:00"/>
    <s v="DP3G593"/>
    <s v="Ebuka Mercer"/>
    <s v="Emercer@ymail.com"/>
    <s v="Female"/>
    <s v="PVC2023159"/>
    <s v="Standard"/>
    <n v="24"/>
    <s v="ACCESS BANK"/>
    <x v="2"/>
  </r>
  <r>
    <d v="2022-11-18T00:00:00"/>
    <s v="DP2J110"/>
    <s v="Ehindero Matt"/>
    <s v="Ematt@gmail.com"/>
    <s v="Male"/>
    <s v="PVC2023104"/>
    <s v="Standard"/>
    <n v="19"/>
    <s v="UNITED BANK FOR AFRICA"/>
    <x v="0"/>
  </r>
  <r>
    <d v="2022-11-19T00:00:00"/>
    <s v="DP3M437"/>
    <s v="Toyin Micheal"/>
    <s v="Tmicheal@coriftech.com"/>
    <s v="Male"/>
    <s v="PVC2023188"/>
    <s v="Standard"/>
    <n v="46"/>
    <s v="GTBANK PLC"/>
    <x v="3"/>
  </r>
  <r>
    <d v="2022-11-19T00:00:00"/>
    <s v="DP3M491"/>
    <s v="Paul Ferris"/>
    <s v="Pferris@gmail.com"/>
    <s v="Female"/>
    <s v="PVC2023181"/>
    <s v="Premium"/>
    <n v="48"/>
    <s v="UNITED BANK FOR AFRICA"/>
    <x v="4"/>
  </r>
  <r>
    <d v="2022-11-19T00:00:00"/>
    <s v="DP2B129"/>
    <s v="Jelani Mckinney"/>
    <s v="Jmckinney@coriftech.com"/>
    <s v="Female"/>
    <s v="PVC2023107"/>
    <s v="Gold"/>
    <n v="31"/>
    <s v="FIRST BANK"/>
    <x v="2"/>
  </r>
  <r>
    <d v="2022-11-23T00:00:00"/>
    <s v="DP3C400"/>
    <s v="Agemo Barnes"/>
    <s v="Abarnes@gmail.com"/>
    <s v="Female"/>
    <s v="PVC2023136"/>
    <s v="Premium"/>
    <n v="58"/>
    <s v="FIRST BANK"/>
    <x v="0"/>
  </r>
  <r>
    <d v="2022-11-23T00:00:00"/>
    <s v="DP2T228"/>
    <s v="Odumosu Duke"/>
    <s v="Oduke@coriftech.com"/>
    <s v="Male"/>
    <s v="PVC2023108"/>
    <s v="Standard"/>
    <n v="48"/>
    <s v="ZENITH BANK"/>
    <x v="4"/>
  </r>
  <r>
    <d v="2022-11-24T00:00:00"/>
    <s v="DP3J488"/>
    <s v="Deacon Cobb"/>
    <s v="Dcobb@coriftech.com"/>
    <s v="Male"/>
    <s v="PVC2023102"/>
    <s v="Gold"/>
    <n v="30"/>
    <s v="UNITED BANK FOR AFRICA"/>
    <x v="3"/>
  </r>
  <r>
    <d v="2022-11-24T00:00:00"/>
    <s v="DP2H108"/>
    <s v="Sawyer Herriot"/>
    <s v="Sherriot@gmail.com"/>
    <s v="Male"/>
    <s v="PVC2023155"/>
    <s v="Standard"/>
    <n v="34"/>
    <s v="UNION BANK"/>
    <x v="1"/>
  </r>
  <r>
    <d v="2022-11-25T00:00:00"/>
    <s v="DP3D590"/>
    <s v="Ayo Vang"/>
    <s v="Avang@coriftech.com"/>
    <s v="Male"/>
    <s v="PVC2023199"/>
    <s v="Standard"/>
    <n v="44"/>
    <s v="WEMA BANK"/>
    <x v="4"/>
  </r>
  <r>
    <d v="2022-11-25T00:00:00"/>
    <s v="DP3H378"/>
    <s v="Jelani Mckinney"/>
    <s v="Jmckinney@coriftech.com"/>
    <s v="Female"/>
    <s v="PVC2023107"/>
    <s v="Gold"/>
    <n v="31"/>
    <s v="FIRST BANK"/>
    <x v="0"/>
  </r>
  <r>
    <d v="2022-11-28T00:00:00"/>
    <s v="DP3R307"/>
    <s v="Adebola Solis"/>
    <s v="Asolis@ymail.com"/>
    <s v="Female"/>
    <s v="PVC2023124"/>
    <s v="Standard"/>
    <n v="29"/>
    <s v="FIRST BANK"/>
    <x v="3"/>
  </r>
  <r>
    <d v="2022-11-30T00:00:00"/>
    <s v="DP3Z502"/>
    <s v="Fasinu Adams"/>
    <s v="Fadams@ymail.com"/>
    <s v="Male"/>
    <s v="PVC2023172"/>
    <s v="Standard"/>
    <n v="50"/>
    <s v="UNION BANK"/>
    <x v="3"/>
  </r>
  <r>
    <d v="2022-12-01T00:00:00"/>
    <s v="DP2Y234"/>
    <s v="Fasinu Guzzo"/>
    <s v="Fguzzo@ymail.com"/>
    <s v="Male"/>
    <s v="PVC2023153"/>
    <s v="Standard"/>
    <n v="61"/>
    <s v="GTBANK PLC"/>
    <x v="0"/>
  </r>
  <r>
    <d v="2022-12-02T00:00:00"/>
    <s v="DP2G215"/>
    <s v="Ebuka Mercer"/>
    <s v="Emercer@ymail.com"/>
    <s v="Female"/>
    <s v="PVC2023159"/>
    <s v="Standard"/>
    <n v="24"/>
    <s v="FIRST BANK"/>
    <x v="0"/>
  </r>
  <r>
    <d v="2022-12-02T00:00:00"/>
    <s v="DP3L328"/>
    <s v="Amery Jacob"/>
    <s v="Ajacob@ymail.com"/>
    <s v="Male"/>
    <s v="PVC2023142"/>
    <s v="Gold"/>
    <n v="21"/>
    <s v="UNION BANK"/>
    <x v="3"/>
  </r>
  <r>
    <d v="2022-12-04T00:00:00"/>
    <s v="DP3G377"/>
    <s v="Leonard Gilbert"/>
    <s v="Lgilbert@coriftech.com"/>
    <s v="Male"/>
    <s v="PVC2023186"/>
    <s v="Standard"/>
    <n v="40"/>
    <s v="FIDELITY BANK"/>
    <x v="1"/>
  </r>
  <r>
    <d v="2022-12-04T00:00:00"/>
    <s v="DP3U445"/>
    <s v="Adeniyi Tillman"/>
    <s v="Atillman@ymail.com"/>
    <s v="Male"/>
    <s v="PVC2023119"/>
    <s v="Gold"/>
    <n v="63"/>
    <s v="ZENITH BANK"/>
    <x v="4"/>
  </r>
  <r>
    <d v="2022-12-05T00:00:00"/>
    <s v="DP2O115"/>
    <s v="Ingrid Burris"/>
    <s v="Iburris@coriftech.com"/>
    <s v="Female"/>
    <s v="PVC2023128"/>
    <s v="Gold"/>
    <n v="50"/>
    <s v="UNION BANK"/>
    <x v="4"/>
  </r>
  <r>
    <d v="2022-12-07T00:00:00"/>
    <s v="DP3R388"/>
    <s v="Noel Mack"/>
    <s v="Nmack@gmail.com"/>
    <s v="Male"/>
    <s v="PVC2023139"/>
    <s v="Gold"/>
    <n v="64"/>
    <s v="FIRST BANK"/>
    <x v="1"/>
  </r>
  <r>
    <d v="2022-12-07T00:00:00"/>
    <s v="DP2P170"/>
    <s v="Robert Jones"/>
    <s v="Rjones@gmail.com"/>
    <s v="Female"/>
    <s v="PVC2023140"/>
    <s v="Standard"/>
    <n v="51"/>
    <s v="UNION BANK"/>
    <x v="1"/>
  </r>
  <r>
    <d v="2022-12-07T00:00:00"/>
    <s v="DP2Q279"/>
    <s v="Uriel Adams"/>
    <s v="Uadams@gmail.com"/>
    <s v="Female"/>
    <s v="PVC2023169"/>
    <s v="Standard"/>
    <n v="48"/>
    <s v="UNITED BANK FOR AFRICA"/>
    <x v="4"/>
  </r>
  <r>
    <d v="2022-12-07T00:00:00"/>
    <s v="DP3D563"/>
    <s v="Jelani Mckinney"/>
    <s v="Jmckinney@coriftech.com"/>
    <s v="Female"/>
    <s v="PVC2023107"/>
    <s v="Gold"/>
    <n v="31"/>
    <s v="ZENITH BANK"/>
    <x v="4"/>
  </r>
  <r>
    <d v="2022-12-07T00:00:00"/>
    <s v="DP3Z583"/>
    <s v="Lesly Porter"/>
    <s v="Lporter@gmail.com"/>
    <s v="Female"/>
    <s v="PVC2023137"/>
    <s v="Gold"/>
    <n v="68"/>
    <s v="UNITED BANK FOR AFRICA"/>
    <x v="1"/>
  </r>
  <r>
    <d v="2022-12-07T00:00:00"/>
    <s v="DP3B318"/>
    <s v="Ursula Maddox"/>
    <s v="Umaddox@gmail.com"/>
    <s v="Male"/>
    <s v="PVC2023166"/>
    <s v="Standard"/>
    <n v="41"/>
    <s v="FIDELITY BANK"/>
    <x v="3"/>
  </r>
  <r>
    <d v="2022-12-08T00:00:00"/>
    <s v="DP2K246"/>
    <s v="Toyin Douglas"/>
    <s v="Tdouglas@gmail.com"/>
    <s v="Female"/>
    <s v="PVC2023160"/>
    <s v="Standard"/>
    <n v="50"/>
    <s v="UNITED BANK FOR AFRICA"/>
    <x v="4"/>
  </r>
  <r>
    <d v="2022-12-08T00:00:00"/>
    <s v="DP2A290"/>
    <s v="Oprah Rod"/>
    <s v="Orod@coriftech.com"/>
    <s v="Female"/>
    <s v="PVC2023192"/>
    <s v="Standard"/>
    <n v="21"/>
    <s v="FIRST BANK"/>
    <x v="3"/>
  </r>
  <r>
    <d v="2022-12-08T00:00:00"/>
    <s v="DP2P278"/>
    <s v="Celeste Miller"/>
    <s v="Cmiller@gmail.com"/>
    <s v="Female"/>
    <s v="PVC2023138"/>
    <s v="Premium"/>
    <n v="66"/>
    <s v="ZENITH BANK"/>
    <x v="4"/>
  </r>
  <r>
    <d v="2022-12-08T00:00:00"/>
    <s v="DP2L139"/>
    <s v="Forrest Felix"/>
    <s v="Ffelix@coriftech.com"/>
    <s v="Female"/>
    <s v="PVC2023145"/>
    <s v="Standard"/>
    <n v="65"/>
    <s v="STANDARD CHARTERED"/>
    <x v="3"/>
  </r>
  <r>
    <d v="2022-12-09T00:00:00"/>
    <s v="DP3V581"/>
    <s v="Peter Dixon"/>
    <s v="Pdixon@gmail.com"/>
    <s v="Female"/>
    <s v="PVC2023152"/>
    <s v="Standard"/>
    <n v="34"/>
    <s v="FIRST BANK"/>
    <x v="0"/>
  </r>
  <r>
    <d v="2022-12-10T00:00:00"/>
    <s v="DP2Z181"/>
    <s v="Emerson Panovsky"/>
    <s v="Epanovsky@gmail.com"/>
    <s v="Female"/>
    <s v="PVC2023198"/>
    <s v="Gold"/>
    <n v="19"/>
    <s v="UNION BANK"/>
    <x v="0"/>
  </r>
  <r>
    <d v="2022-12-12T00:00:00"/>
    <s v="DP2A263"/>
    <s v="Bell Juarez"/>
    <s v="Bjuarez@coriftech.com"/>
    <s v="Male"/>
    <s v="PVC2023173"/>
    <s v="Gold"/>
    <n v="71"/>
    <s v="UNITED BANK FOR AFRICA"/>
    <x v="1"/>
  </r>
  <r>
    <d v="2022-12-12T00:00:00"/>
    <s v="DP2V284"/>
    <s v="Akanteyon Williams"/>
    <s v="Awilliams@coriftech.com"/>
    <s v="Female"/>
    <s v="PVC2023163"/>
    <s v="Gold"/>
    <n v="25"/>
    <s v="ACCESS BANK"/>
    <x v="4"/>
  </r>
  <r>
    <d v="2022-12-12T00:00:00"/>
    <s v="DP3W501"/>
    <s v="Adebola Solis"/>
    <s v="Asolis@ymail.com"/>
    <s v="Female"/>
    <s v="PVC2023124"/>
    <s v="Standard"/>
    <n v="29"/>
    <s v="FIRST BANK"/>
    <x v="2"/>
  </r>
  <r>
    <d v="2022-12-12T00:00:00"/>
    <s v="DP3V338"/>
    <s v="Toyin Micheal"/>
    <s v="Tmicheal@coriftech.com"/>
    <s v="Male"/>
    <s v="PVC2023188"/>
    <s v="Standard"/>
    <n v="46"/>
    <s v="GTBANK PLC"/>
    <x v="0"/>
  </r>
  <r>
    <d v="2022-12-14T00:00:00"/>
    <s v="DP2K300"/>
    <s v="Athena Macdonald"/>
    <s v="Amacdonald@gmail.com"/>
    <s v="Male"/>
    <s v="PVC2023150"/>
    <s v="Gold"/>
    <n v="29"/>
    <s v="ACCESS BANK"/>
    <x v="3"/>
  </r>
  <r>
    <d v="2022-12-15T00:00:00"/>
    <s v="DP3L355"/>
    <s v="Olaogun Gilbert"/>
    <s v="Ogilbert@gmail.com"/>
    <s v="Male"/>
    <s v="PVC2023179"/>
    <s v="Standard"/>
    <n v="22"/>
    <s v="ZENITH BANK"/>
    <x v="4"/>
  </r>
  <r>
    <d v="2022-12-15T00:00:00"/>
    <s v="DP3P467"/>
    <s v="Isaac Matt"/>
    <s v="Imatt@gmail.com"/>
    <s v="Male"/>
    <s v="PVC2023158"/>
    <s v="Gold"/>
    <n v="74"/>
    <s v="UNION BANK"/>
    <x v="0"/>
  </r>
  <r>
    <d v="2022-12-16T00:00:00"/>
    <s v="DP3N492"/>
    <s v="Hiroko Panovsky"/>
    <s v="Hpanovsky@ymail.com"/>
    <s v="Male"/>
    <s v="PVC2023182"/>
    <s v="Standard"/>
    <n v="59"/>
    <s v="WEMA BANK"/>
    <x v="1"/>
  </r>
  <r>
    <d v="2022-12-16T00:00:00"/>
    <s v="DP3I487"/>
    <s v="Adeniyi Weaver"/>
    <s v="Aweaver@ymail.com"/>
    <s v="Male"/>
    <s v="PVC2023105"/>
    <s v="Gold"/>
    <n v="39"/>
    <s v="STANBIC IBTC BANK"/>
    <x v="2"/>
  </r>
  <r>
    <d v="2022-12-17T00:00:00"/>
    <s v="DP3E591"/>
    <s v="Odumosu Duke"/>
    <s v="Oduke@coriftech.com"/>
    <s v="Male"/>
    <s v="PVC2023108"/>
    <s v="Standard"/>
    <n v="48"/>
    <s v="UNITED BANK FOR AFRICA"/>
    <x v="1"/>
  </r>
  <r>
    <d v="2022-12-18T00:00:00"/>
    <s v="DP3M518"/>
    <s v="Rhona Mitchell"/>
    <s v="Rmitchell@gmail.com"/>
    <s v="Female"/>
    <s v="PVC2023141"/>
    <s v="Premium"/>
    <n v="72"/>
    <s v="UNITED BANK FOR AFRICA"/>
    <x v="3"/>
  </r>
  <r>
    <d v="2022-12-19T00:00:00"/>
    <s v="DP2C130"/>
    <s v="Liberty Barnett"/>
    <s v="Lbarnett@gmail.com"/>
    <s v="Male"/>
    <s v="PVC2023103"/>
    <s v="Standard"/>
    <n v="39"/>
    <s v="UNION BANK"/>
    <x v="3"/>
  </r>
  <r>
    <d v="2022-12-21T00:00:00"/>
    <s v="DP3R496"/>
    <s v="Adeniyi Tillman"/>
    <s v="Atillman@ymail.com"/>
    <s v="Male"/>
    <s v="PVC2023119"/>
    <s v="Gold"/>
    <n v="63"/>
    <s v="ACCESS BANK"/>
    <x v="4"/>
  </r>
  <r>
    <d v="2022-12-22T00:00:00"/>
    <s v="DP3Y369"/>
    <s v="Bamidele Alexander"/>
    <s v="Balexander@ymail.com"/>
    <s v="Male"/>
    <s v="PVC2023113"/>
    <s v="Premium"/>
    <n v="61"/>
    <s v="GTBANK PLC"/>
    <x v="3"/>
  </r>
  <r>
    <d v="2022-12-22T00:00:00"/>
    <s v="DP3O412"/>
    <s v="Winifred Ogbonna"/>
    <s v="Wogbonna@ymail.com"/>
    <s v="Female"/>
    <s v="PVC2023149"/>
    <s v="Premium"/>
    <n v="69"/>
    <s v="UNITED BANK FOR AFRICA"/>
    <x v="1"/>
  </r>
  <r>
    <d v="2022-12-23T00:00:00"/>
    <s v="DP2D239"/>
    <s v="Athena Macdonald"/>
    <s v="Amacdonald@gmail.com"/>
    <s v="Male"/>
    <s v="PVC2023150"/>
    <s v="Gold"/>
    <n v="29"/>
    <s v="UNION BANK"/>
    <x v="2"/>
  </r>
  <r>
    <d v="2022-12-23T00:00:00"/>
    <s v="DP2V257"/>
    <s v="Olaogun Gilbert"/>
    <s v="Ogilbert@gmail.com"/>
    <s v="Male"/>
    <s v="PVC2023179"/>
    <s v="Standard"/>
    <n v="22"/>
    <s v="STANBIC IBTC BANK"/>
    <x v="3"/>
  </r>
  <r>
    <d v="2022-12-24T00:00:00"/>
    <s v="DP3S389"/>
    <s v="Adebola Solis"/>
    <s v="Asolis@ymail.com"/>
    <s v="Female"/>
    <s v="PVC2023124"/>
    <s v="Standard"/>
    <n v="29"/>
    <s v="ZENITH BANK"/>
    <x v="4"/>
  </r>
  <r>
    <d v="2022-12-25T00:00:00"/>
    <s v="DP3L571"/>
    <s v="Olaogun Kidd"/>
    <s v="Okidd@gmail.com"/>
    <s v="Male"/>
    <s v="PVC2023134"/>
    <s v="Premium"/>
    <n v="68"/>
    <s v="UNITED BANK FOR AFRICA"/>
    <x v="3"/>
  </r>
  <r>
    <d v="2022-12-26T00:00:00"/>
    <s v="DP2H135"/>
    <s v="Temilade Knapp"/>
    <s v="Tknapp@ymail.com"/>
    <s v="Female"/>
    <s v="PVC2023187"/>
    <s v="Premium"/>
    <n v="61"/>
    <s v="FIDELITY BANK"/>
    <x v="4"/>
  </r>
  <r>
    <d v="2022-12-28T00:00:00"/>
    <s v="DP2Z262"/>
    <s v="Brittany Best"/>
    <s v="Bbest@gmail.com"/>
    <s v="Female"/>
    <s v="PVC2023125"/>
    <s v="Premium"/>
    <n v="28"/>
    <s v="UNION BANK"/>
    <x v="1"/>
  </r>
  <r>
    <d v="2022-12-30T00:00:00"/>
    <s v="DP3T336"/>
    <s v="Odumosu Duke"/>
    <s v="Oduke@coriftech.com"/>
    <s v="Male"/>
    <s v="PVC2023108"/>
    <s v="Standard"/>
    <n v="48"/>
    <s v="GTBANK PLC"/>
    <x v="1"/>
  </r>
  <r>
    <d v="2022-12-31T00:00:00"/>
    <s v="DP3Y342"/>
    <s v="Lesly Porter"/>
    <s v="Lporter@gmail.com"/>
    <s v="Female"/>
    <s v="PVC2023137"/>
    <s v="Gold"/>
    <n v="68"/>
    <s v="STANBIC IBTC BANK"/>
    <x v="0"/>
  </r>
  <r>
    <d v="2022-12-31T00:00:00"/>
    <s v="DP2Z154"/>
    <s v="Adeniyi Tillman"/>
    <s v="Atillman@ymail.com"/>
    <s v="Male"/>
    <s v="PVC2023119"/>
    <s v="Gold"/>
    <n v="63"/>
    <s v="STANDARD CHARTERED"/>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9">
  <r>
    <s v="January"/>
    <d v="2022-01-01T00:00:00"/>
    <s v="DP3A344"/>
    <x v="0"/>
    <s v="Umaddox@gmail.com"/>
    <s v="Male"/>
    <s v="PVC2023166"/>
    <s v="Standard"/>
    <n v="41"/>
    <s v="SENIOR CITIZEN"/>
    <s v="FIRST BANK"/>
    <s v="Mobile Transfer"/>
    <s v="DP2G296"/>
    <n v="153624"/>
  </r>
  <r>
    <s v="January"/>
    <d v="2022-01-01T00:00:00"/>
    <s v="DP3T417"/>
    <x v="1"/>
    <s v="Rmitchell@gmail.com"/>
    <s v="Female"/>
    <s v="PVC2023141"/>
    <s v="Premium"/>
    <n v="72"/>
    <s v="OLD CITIZEN"/>
    <s v="STANDARD CHARTERED"/>
    <s v="Partner Agent"/>
    <s v="DP2X152"/>
    <n v="181022"/>
  </r>
  <r>
    <s v="January"/>
    <d v="2022-01-03T00:00:00"/>
    <s v="DP2A236"/>
    <x v="2"/>
    <s v="Oweber@ymail.com"/>
    <s v="Female"/>
    <s v="PVC2023196"/>
    <s v="Gold"/>
    <n v="59"/>
    <s v="SENIOR CITIZEN"/>
    <s v="ACCESS BANK"/>
    <s v="Over The Counter"/>
    <s v="DP2Y126"/>
    <n v="81312"/>
  </r>
  <r>
    <s v="January"/>
    <d v="2022-01-03T00:00:00"/>
    <s v="DP2G296"/>
    <x v="3"/>
    <s v="Balexander@ymail.com"/>
    <s v="Male"/>
    <s v="PVC2023113"/>
    <s v="Premium"/>
    <n v="61"/>
    <s v="OLD CITIZEN"/>
    <s v="FIDELITY BANK"/>
    <s v="Mobile Transfer"/>
    <s v="DP3T444"/>
    <n v="85219"/>
  </r>
  <r>
    <s v="January"/>
    <d v="2022-01-03T00:00:00"/>
    <s v="DP3T390"/>
    <x v="4"/>
    <s v="Uadams@gmail.com"/>
    <s v="Female"/>
    <s v="PVC2023169"/>
    <s v="Standard"/>
    <n v="48"/>
    <s v="SENIOR CITIZEN"/>
    <s v="UNITED BANK FOR AFRICA"/>
    <s v="Mobile Transfer"/>
    <s v="DP3Z505"/>
    <n v="83048"/>
  </r>
  <r>
    <s v="January"/>
    <d v="2022-01-03T00:00:00"/>
    <s v="DP3N384"/>
    <x v="5"/>
    <s v="Ogilbert@gmail.com"/>
    <s v="Male"/>
    <s v="PVC2023179"/>
    <s v="Standard"/>
    <n v="22"/>
    <s v="ADULT"/>
    <s v="UNITED BANK FOR AFRICA"/>
    <s v="USSD"/>
    <s v="DP2V257"/>
    <n v="11844"/>
  </r>
  <r>
    <s v="January"/>
    <d v="2022-01-04T00:00:00"/>
    <s v="DP2T147"/>
    <x v="6"/>
    <s v="Fguzzo@ymail.com"/>
    <s v="Male"/>
    <s v="PVC2023153"/>
    <s v="Standard"/>
    <n v="61"/>
    <s v="OLD CITIZEN"/>
    <s v="ZENITH BANK"/>
    <s v="Mobile Transfer"/>
    <s v="DP2I109"/>
    <n v="36291"/>
  </r>
  <r>
    <s v="January"/>
    <d v="2022-01-05T00:00:00"/>
    <s v="DP2P116"/>
    <x v="7"/>
    <s v="Bbest@gmail.com"/>
    <s v="Female"/>
    <s v="PVC2023125"/>
    <s v="Premium"/>
    <n v="28"/>
    <s v="ADULT"/>
    <s v="WEMA BANK"/>
    <s v="USSD"/>
    <s v="DP3T498"/>
    <n v="163819"/>
  </r>
  <r>
    <s v="January"/>
    <d v="2022-01-06T00:00:00"/>
    <s v="DP2M113"/>
    <x v="8"/>
    <s v="Oduke@coriftech.com"/>
    <s v="Male"/>
    <s v="PVC2023108"/>
    <s v="Standard"/>
    <n v="48"/>
    <s v="SENIOR CITIZEN"/>
    <s v="FIRST BANK"/>
    <s v="Online Banking"/>
    <s v="DP2N303"/>
    <n v="181190"/>
  </r>
  <r>
    <s v="January"/>
    <d v="2022-01-06T00:00:00"/>
    <s v="DP2E267"/>
    <x v="9"/>
    <s v="Omcclure@gmail.com"/>
    <s v="Male"/>
    <s v="PVC2023154"/>
    <s v="Standard"/>
    <n v="60"/>
    <s v="SENIOR CITIZEN"/>
    <s v="UNION BANK"/>
    <s v="Over The Counter"/>
    <s v="DP2D212"/>
    <n v="69644"/>
  </r>
  <r>
    <s v="January"/>
    <d v="2022-01-06T00:00:00"/>
    <s v="DP3U310"/>
    <x v="10"/>
    <s v="Bjuarez@coriftech.com"/>
    <s v="Male"/>
    <s v="PVC2023173"/>
    <s v="Gold"/>
    <n v="71"/>
    <s v="OLD CITIZEN"/>
    <s v="UNION BANK"/>
    <s v="Over The Counter"/>
    <s v="DP3X503"/>
    <n v="136786"/>
  </r>
  <r>
    <s v="January"/>
    <d v="2022-01-07T00:00:00"/>
    <s v="DP3K408"/>
    <x v="11"/>
    <s v="Iselhorst@coriftech.com"/>
    <s v="Female"/>
    <s v="PVC2023144"/>
    <s v="Premium"/>
    <n v="54"/>
    <s v="SENIOR CITIZEN"/>
    <s v="UNION BANK"/>
    <s v="Partner Agent"/>
    <s v="DP2L220"/>
    <n v="184598"/>
  </r>
  <r>
    <s v="January"/>
    <d v="2022-01-08T00:00:00"/>
    <s v="DP2Z235"/>
    <x v="10"/>
    <s v="Bjuarez@coriftech.com"/>
    <s v="Male"/>
    <s v="PVC2023173"/>
    <s v="Gold"/>
    <n v="71"/>
    <s v="OLD CITIZEN"/>
    <s v="WEMA BANK"/>
    <s v="Mobile Transfer"/>
    <s v="DP3E564"/>
    <n v="148510"/>
  </r>
  <r>
    <s v="January"/>
    <d v="2022-01-09T00:00:00"/>
    <s v="DP3E537"/>
    <x v="12"/>
    <s v="Epanovsky@gmail.com"/>
    <s v="Female"/>
    <s v="PVC2023198"/>
    <s v="Gold"/>
    <n v="19"/>
    <s v="TEEN"/>
    <s v="ACCESS BANK"/>
    <s v="USSD"/>
    <s v="DP2P224"/>
    <n v="181788"/>
  </r>
  <r>
    <s v="January"/>
    <d v="2022-01-09T00:00:00"/>
    <s v="DP3L490"/>
    <x v="13"/>
    <s v="Tknapp@ymail.com"/>
    <s v="Female"/>
    <s v="PVC2023187"/>
    <s v="Premium"/>
    <n v="61"/>
    <s v="OLD CITIZEN"/>
    <s v="FIDELITY BANK"/>
    <s v="Mobile Transfer"/>
    <s v="DP2M167"/>
    <n v="180179"/>
  </r>
  <r>
    <s v="January"/>
    <d v="2022-01-11T00:00:00"/>
    <s v="DP2W231"/>
    <x v="14"/>
    <s v="Dcobb@coriftech.com"/>
    <s v="Male"/>
    <s v="PVC2023102"/>
    <s v="Gold"/>
    <n v="30"/>
    <s v="ADULT"/>
    <s v="UNION BANK"/>
    <s v="Mobile Transfer"/>
    <s v="DP2N222"/>
    <n v="56917"/>
  </r>
  <r>
    <s v="January"/>
    <d v="2022-01-13T00:00:00"/>
    <s v="DP3W339"/>
    <x v="6"/>
    <s v="Fguzzo@ymail.com"/>
    <s v="Male"/>
    <s v="PVC2023153"/>
    <s v="Standard"/>
    <n v="61"/>
    <s v="OLD CITIZEN"/>
    <s v="ZENITH BANK"/>
    <s v="Partner Agent"/>
    <s v="DP2I298"/>
    <n v="139662"/>
  </r>
  <r>
    <s v="January"/>
    <d v="2022-01-14T00:00:00"/>
    <s v="DP3K570"/>
    <x v="15"/>
    <s v="Bmiller@gmail.com"/>
    <s v="Male"/>
    <s v="PVC2023118"/>
    <s v="Premium"/>
    <n v="36"/>
    <s v="ADULT"/>
    <s v="UNION BANK"/>
    <s v="Mobile Transfer"/>
    <s v="DP2T228"/>
    <n v="36666"/>
  </r>
  <r>
    <s v="January"/>
    <d v="2022-01-14T00:00:00"/>
    <s v="DP3V392"/>
    <x v="8"/>
    <s v="Oduke@coriftech.com"/>
    <s v="Male"/>
    <s v="PVC2023108"/>
    <s v="Standard"/>
    <n v="48"/>
    <s v="SENIOR CITIZEN"/>
    <s v="STANDARD CHARTERED"/>
    <s v="Partner Agent"/>
    <s v="DP3S416"/>
    <n v="147729"/>
  </r>
  <r>
    <s v="January"/>
    <d v="2022-01-15T00:00:00"/>
    <s v="DP3H567"/>
    <x v="16"/>
    <s v="Lkey@coriftech.com"/>
    <s v="Female"/>
    <s v="PVC2023130"/>
    <s v="Premium"/>
    <n v="31"/>
    <s v="ADULT"/>
    <s v="STANDARD CHARTERED"/>
    <s v="USSD"/>
    <s v="DP3V473"/>
    <n v="143446"/>
  </r>
  <r>
    <s v="January"/>
    <d v="2022-01-15T00:00:00"/>
    <s v="DP3X584"/>
    <x v="3"/>
    <s v="Balexander@ymail.com"/>
    <s v="Male"/>
    <s v="PVC2023113"/>
    <s v="Premium"/>
    <n v="61"/>
    <s v="OLD CITIZEN"/>
    <s v="UNION BANK"/>
    <s v="Mobile Transfer"/>
    <s v="DP2J191"/>
    <n v="167637"/>
  </r>
  <r>
    <s v="January"/>
    <d v="2022-01-17T00:00:00"/>
    <s v="DP3F511"/>
    <x v="10"/>
    <s v="Bjuarez@coriftech.com"/>
    <s v="Male"/>
    <s v="PVC2023173"/>
    <s v="Gold"/>
    <n v="71"/>
    <s v="OLD CITIZEN"/>
    <s v="ZENITH BANK"/>
    <s v="Over The Counter"/>
    <s v="DP3M437"/>
    <n v="16185"/>
  </r>
  <r>
    <s v="January"/>
    <d v="2022-01-18T00:00:00"/>
    <s v="DP2N114"/>
    <x v="17"/>
    <s v="Awilliams@coriftech.com"/>
    <s v="Female"/>
    <s v="PVC2023163"/>
    <s v="Gold"/>
    <n v="25"/>
    <s v="ADULT"/>
    <s v="FIDELITY BANK"/>
    <s v="Partner Agent"/>
    <s v="DP2J164"/>
    <n v="25464"/>
  </r>
  <r>
    <s v="January"/>
    <d v="2022-01-18T00:00:00"/>
    <s v="DP2G107"/>
    <x v="18"/>
    <s v="Hpanovsky@ymail.com"/>
    <s v="Male"/>
    <s v="PVC2023182"/>
    <s v="Standard"/>
    <n v="59"/>
    <s v="SENIOR CITIZEN"/>
    <s v="ACCESS BANK"/>
    <s v="USSD"/>
    <s v="DP3Y342"/>
    <n v="118571"/>
  </r>
  <r>
    <s v="January"/>
    <d v="2022-01-20T00:00:00"/>
    <s v="DP2A101"/>
    <x v="19"/>
    <s v="Bnankam@coriftech.com"/>
    <s v="Male"/>
    <s v="PVC2023143"/>
    <s v="Gold"/>
    <n v="64"/>
    <s v="OLD CITIZEN"/>
    <s v="UNION BANK"/>
    <s v="Partner Agent"/>
    <s v="DP3K435"/>
    <n v="168014"/>
  </r>
  <r>
    <s v="January"/>
    <d v="2022-01-21T00:00:00"/>
    <s v="DP3X314"/>
    <x v="20"/>
    <s v="Tperkins@coriftech.com"/>
    <s v="Female"/>
    <s v="PVC2023176"/>
    <s v="Standard"/>
    <n v="73"/>
    <s v="OLD CITIZEN"/>
    <s v="WEMA BANK"/>
    <s v="Mobile Transfer"/>
    <s v="DP3O574"/>
    <n v="155478"/>
  </r>
  <r>
    <s v="January"/>
    <d v="2022-01-22T00:00:00"/>
    <s v="DP2D131"/>
    <x v="18"/>
    <s v="Hpanovsky@ymail.com"/>
    <s v="Male"/>
    <s v="PVC2023182"/>
    <s v="Standard"/>
    <n v="59"/>
    <s v="SENIOR CITIZEN"/>
    <s v="FIRST BANK"/>
    <s v="Partner Agent"/>
    <s v="DP2I244"/>
    <n v="125867"/>
  </r>
  <r>
    <s v="January"/>
    <d v="2022-01-23T00:00:00"/>
    <s v="DP3T309"/>
    <x v="21"/>
    <s v="Abarnes@gmail.com"/>
    <s v="Female"/>
    <s v="PVC2023136"/>
    <s v="Premium"/>
    <n v="58"/>
    <s v="SENIOR CITIZEN"/>
    <s v="ZENITH BANK"/>
    <s v="USSD"/>
    <s v="DP2Y207"/>
    <n v="187570"/>
  </r>
  <r>
    <s v="January"/>
    <d v="2022-01-25T00:00:00"/>
    <s v="DP2W123"/>
    <x v="22"/>
    <s v="Tabbott@coriftech.com"/>
    <s v="Male"/>
    <s v="PVC2023116"/>
    <s v="Standard"/>
    <n v="67"/>
    <s v="OLD CITIZEN"/>
    <s v="ACCESS BANK"/>
    <s v="Partner Agent"/>
    <s v="DP3E375"/>
    <n v="132161"/>
  </r>
  <r>
    <s v="January"/>
    <d v="2022-01-25T00:00:00"/>
    <s v="DP3T579"/>
    <x v="23"/>
    <s v="Bandrea@coriftech.com"/>
    <s v="Female"/>
    <s v="PVC2023117"/>
    <s v="Gold"/>
    <n v="19"/>
    <s v="TEEN"/>
    <s v="STANDARD CHARTERED"/>
    <s v="Mobile Transfer"/>
    <s v="DP3U418"/>
    <n v="11047"/>
  </r>
  <r>
    <s v="January"/>
    <d v="2022-01-25T00:00:00"/>
    <s v="DP3M383"/>
    <x v="24"/>
    <s v="Afitzpatrick@gmail.com"/>
    <s v="Male"/>
    <s v="PVC2023148"/>
    <s v="Standard"/>
    <n v="59"/>
    <s v="SENIOR CITIZEN"/>
    <s v="UNITED BANK FOR AFRICA"/>
    <s v="Mobile Transfer"/>
    <s v="DP2N276"/>
    <n v="121408"/>
  </r>
  <r>
    <s v="January"/>
    <d v="2022-01-26T00:00:00"/>
    <s v="DP3C535"/>
    <x v="25"/>
    <s v="Achang@gmail.com"/>
    <s v="Female"/>
    <s v="PVC2023110"/>
    <s v="Premium"/>
    <n v="76"/>
    <s v="OLD CITIZEN"/>
    <s v="FIDELITY BANK"/>
    <s v="Online Banking"/>
    <s v="DP3T471"/>
    <n v="24704"/>
  </r>
  <r>
    <s v="January"/>
    <d v="2022-01-26T00:00:00"/>
    <s v="DP3I352"/>
    <x v="26"/>
    <s v="Cmiller@gmail.com"/>
    <s v="Female"/>
    <s v="PVC2023138"/>
    <s v="Premium"/>
    <n v="66"/>
    <s v="OLD CITIZEN"/>
    <s v="UNITED BANK FOR AFRICA"/>
    <s v="Online Banking"/>
    <s v="DP2L193"/>
    <n v="80370"/>
  </r>
  <r>
    <s v="January"/>
    <d v="2022-01-27T00:00:00"/>
    <s v="DP2I271"/>
    <x v="27"/>
    <s v="Okidd@gmail.com"/>
    <s v="Male"/>
    <s v="PVC2023134"/>
    <s v="Premium"/>
    <n v="68"/>
    <s v="OLD CITIZEN"/>
    <s v="FIDELITY BANK"/>
    <s v="USSD"/>
    <s v="DP3F457"/>
    <n v="182198"/>
  </r>
  <r>
    <s v="January"/>
    <d v="2022-01-27T00:00:00"/>
    <s v="DP3Q441"/>
    <x v="28"/>
    <s v="Aezichi@gmail.com"/>
    <s v="Female"/>
    <s v="PVC2023194"/>
    <s v="Standard"/>
    <n v="37"/>
    <s v="ADULT"/>
    <s v="STANDARD CHARTERED"/>
    <s v="USSD"/>
    <s v="DP3M518"/>
    <n v="165640"/>
  </r>
  <r>
    <s v="January"/>
    <d v="2022-01-27T00:00:00"/>
    <s v="DP3J569"/>
    <x v="29"/>
    <s v="Pdixon@gmail.com"/>
    <s v="Female"/>
    <s v="PVC2023152"/>
    <s v="Standard"/>
    <n v="34"/>
    <s v="ADULT"/>
    <s v="UNION BANK"/>
    <s v="Mobile Transfer"/>
    <s v="DP3I568"/>
    <n v="13225"/>
  </r>
  <r>
    <s v="January"/>
    <d v="2022-01-28T00:00:00"/>
    <s v="DP3J380"/>
    <x v="30"/>
    <s v="Logbonna@ymail.com"/>
    <s v="Male"/>
    <s v="PVC2023111"/>
    <s v="Premium"/>
    <n v="46"/>
    <s v="SENIOR CITIZEN"/>
    <s v="FIRST BANK"/>
    <s v="Partner Agent"/>
    <s v="DP2I190"/>
    <n v="54078"/>
  </r>
  <r>
    <s v="January"/>
    <d v="2022-01-30T00:00:00"/>
    <s v="DP3V554"/>
    <x v="31"/>
    <s v="Fjordan@coriftech.com"/>
    <s v="Female"/>
    <s v="PVC2023132"/>
    <s v="Standard"/>
    <n v="68"/>
    <s v="OLD CITIZEN"/>
    <s v="STANBIC IBTC BANK"/>
    <s v="Partner Agent"/>
    <s v="DP3Q360"/>
    <n v="184568"/>
  </r>
  <r>
    <s v="January"/>
    <d v="2022-01-31T00:00:00"/>
    <s v="DP2Z259"/>
    <x v="10"/>
    <s v="Bjuarez@coriftech.com"/>
    <s v="Male"/>
    <s v="PVC2023173"/>
    <s v="Gold"/>
    <n v="71"/>
    <s v="OLD CITIZEN"/>
    <s v="UNION BANK"/>
    <s v="Over The Counter"/>
    <s v="DP2Z154"/>
    <n v="17970"/>
  </r>
  <r>
    <s v="January"/>
    <d v="2022-01-31T00:00:00"/>
    <s v="DP3Z451"/>
    <x v="32"/>
    <s v="Mselhorst@gmail.com"/>
    <s v="Female"/>
    <s v="PVC2023115"/>
    <s v="Premium"/>
    <n v="68"/>
    <s v="OLD CITIZEN"/>
    <s v="FIRST BANK"/>
    <s v="Partner Agent"/>
    <s v="DP3B534"/>
    <n v="91596"/>
  </r>
  <r>
    <s v="January"/>
    <d v="2022-01-31T00:00:00"/>
    <s v="DP2S254"/>
    <x v="33"/>
    <s v="Jgarza@ymail.com"/>
    <s v="Male"/>
    <s v="PVC2023147"/>
    <s v="Premium"/>
    <n v="60"/>
    <s v="SENIOR CITIZEN"/>
    <s v="ZENITH BANK"/>
    <s v="Mobile Transfer"/>
    <s v="DP2L247"/>
    <n v="185585"/>
  </r>
  <r>
    <s v="February"/>
    <d v="2022-02-02T00:00:00"/>
    <s v="DP3F322"/>
    <x v="34"/>
    <s v="Padams@coriftech.com"/>
    <s v="Male"/>
    <s v="PVC2023126"/>
    <s v="Standard"/>
    <n v="64"/>
    <s v="OLD CITIZEN"/>
    <s v="UNITED BANK FOR AFRICA"/>
    <s v="Mobile Transfer"/>
    <s v="DP3O412"/>
    <n v="124486"/>
  </r>
  <r>
    <s v="February"/>
    <d v="2022-02-03T00:00:00"/>
    <s v="DP3U526"/>
    <x v="35"/>
    <s v="Mcortez@coriftech.com"/>
    <s v="Female"/>
    <s v="PVC2023121"/>
    <s v="Gold"/>
    <n v="26"/>
    <s v="ADULT"/>
    <s v="GTBANK PLC"/>
    <s v="Over The Counter"/>
    <s v="DP3N384"/>
    <n v="36016"/>
  </r>
  <r>
    <s v="February"/>
    <d v="2022-02-04T00:00:00"/>
    <s v="DP3W474"/>
    <x v="36"/>
    <s v="Amacdonald@gmail.com"/>
    <s v="Male"/>
    <s v="PVC2023150"/>
    <s v="Gold"/>
    <n v="29"/>
    <s v="ADULT"/>
    <s v="STANBIC IBTC BANK"/>
    <s v="USSD"/>
    <s v="DP2X125"/>
    <n v="164234"/>
  </r>
  <r>
    <s v="February"/>
    <d v="2022-02-05T00:00:00"/>
    <s v="DP3L544"/>
    <x v="37"/>
    <s v="Oselhorst@gmail.com"/>
    <s v="Female"/>
    <s v="PVC2023178"/>
    <s v="Standard"/>
    <n v="66"/>
    <s v="OLD CITIZEN"/>
    <s v="FIRST BANK"/>
    <s v="Partner Agent"/>
    <s v="DP2E294"/>
    <n v="34700"/>
  </r>
  <r>
    <s v="February"/>
    <d v="2022-02-06T00:00:00"/>
    <s v="DP3O358"/>
    <x v="33"/>
    <s v="Jgarza@ymail.com"/>
    <s v="Male"/>
    <s v="PVC2023147"/>
    <s v="Premium"/>
    <n v="60"/>
    <s v="SENIOR CITIZEN"/>
    <s v="UNION BANK"/>
    <s v="Partner Agent"/>
    <s v="DP2F241"/>
    <n v="8145"/>
  </r>
  <r>
    <s v="February"/>
    <d v="2022-02-06T00:00:00"/>
    <s v="DP2V122"/>
    <x v="38"/>
    <s v="Atillman@ymail.com"/>
    <s v="Male"/>
    <s v="PVC2023119"/>
    <s v="Gold"/>
    <n v="63"/>
    <s v="OLD CITIZEN"/>
    <s v="STANBIC IBTC BANK"/>
    <s v="USSD"/>
    <s v="DP3I433"/>
    <n v="131046"/>
  </r>
  <r>
    <s v="February"/>
    <d v="2022-02-07T00:00:00"/>
    <s v="DP2Z208"/>
    <x v="35"/>
    <s v="Mcortez@coriftech.com"/>
    <s v="Female"/>
    <s v="PVC2023121"/>
    <s v="Gold"/>
    <n v="26"/>
    <s v="ADULT"/>
    <s v="ACCESS BANK"/>
    <s v="Mobile Transfer"/>
    <s v="DP3U472"/>
    <n v="153276"/>
  </r>
  <r>
    <s v="February"/>
    <d v="2022-02-07T00:00:00"/>
    <s v="DP3Y558"/>
    <x v="39"/>
    <s v="Oferris@gmail.com"/>
    <s v="Female"/>
    <s v="PVC2023185"/>
    <s v="Standard"/>
    <n v="25"/>
    <s v="ADULT"/>
    <s v="FIRST BANK"/>
    <s v="USSD"/>
    <s v="DP2E132"/>
    <n v="138471"/>
  </r>
  <r>
    <s v="February"/>
    <d v="2022-02-07T00:00:00"/>
    <s v="DP3M599"/>
    <x v="12"/>
    <s v="Epanovsky@gmail.com"/>
    <s v="Female"/>
    <s v="PVC2023198"/>
    <s v="Gold"/>
    <n v="19"/>
    <s v="TEEN"/>
    <s v="FIDELITY BANK"/>
    <s v="Mobile Transfer"/>
    <s v="DP3Y315"/>
    <n v="119415"/>
  </r>
  <r>
    <s v="February"/>
    <d v="2022-02-08T00:00:00"/>
    <s v="DP2C211"/>
    <x v="40"/>
    <s v="Ohumphrey@ymail.com"/>
    <s v="Male"/>
    <s v="PVC2023170"/>
    <s v="Standard"/>
    <n v="60"/>
    <s v="SENIOR CITIZEN"/>
    <s v="UNITED BANK FOR AFRICA"/>
    <s v="Online Banking"/>
    <s v="DP2Z181"/>
    <n v="15162"/>
  </r>
  <r>
    <s v="February"/>
    <d v="2022-02-09T00:00:00"/>
    <s v="DP2C184"/>
    <x v="41"/>
    <s v="Lgilbert@coriftech.com"/>
    <s v="Male"/>
    <s v="PVC2023186"/>
    <s v="Standard"/>
    <n v="40"/>
    <s v="ADULT"/>
    <s v="ACCESS BANK"/>
    <s v="Mobile Transfer"/>
    <s v="DP2F268"/>
    <n v="5990"/>
  </r>
  <r>
    <s v="February"/>
    <d v="2022-02-09T00:00:00"/>
    <s v="DP2F241"/>
    <x v="6"/>
    <s v="Fguzzo@ymail.com"/>
    <s v="Male"/>
    <s v="PVC2023153"/>
    <s v="Standard"/>
    <n v="61"/>
    <s v="OLD CITIZEN"/>
    <s v="STANDARD CHARTERED"/>
    <s v="USSD"/>
    <s v="DP2B264"/>
    <n v="182735"/>
  </r>
  <r>
    <s v="February"/>
    <d v="2022-02-11T00:00:00"/>
    <s v="DP3Z421"/>
    <x v="42"/>
    <s v="Aweaver@ymail.com"/>
    <s v="Male"/>
    <s v="PVC2023105"/>
    <s v="Gold"/>
    <n v="39"/>
    <s v="ADULT"/>
    <s v="WEMA BANK"/>
    <s v="USSD"/>
    <s v="DP3D563"/>
    <n v="21354"/>
  </r>
  <r>
    <s v="February"/>
    <d v="2022-02-11T00:00:00"/>
    <s v="DP3I514"/>
    <x v="43"/>
    <s v="Pferris@gmail.com"/>
    <s v="Female"/>
    <s v="PVC2023181"/>
    <s v="Premium"/>
    <n v="48"/>
    <s v="SENIOR CITIZEN"/>
    <s v="FIRST BANK"/>
    <s v="USSD"/>
    <s v="DP2X179"/>
    <n v="132792"/>
  </r>
  <r>
    <s v="February"/>
    <d v="2022-02-11T00:00:00"/>
    <s v="DP2J272"/>
    <x v="10"/>
    <s v="Bjuarez@coriftech.com"/>
    <s v="Male"/>
    <s v="PVC2023173"/>
    <s v="Gold"/>
    <n v="71"/>
    <s v="OLD CITIZEN"/>
    <s v="WEMA BANK"/>
    <s v="Online Banking"/>
    <s v="DP3H351"/>
    <n v="85467"/>
  </r>
  <r>
    <s v="February"/>
    <d v="2022-02-12T00:00:00"/>
    <s v="DP2U202"/>
    <x v="44"/>
    <s v="Lbarnett@gmail.com"/>
    <s v="Male"/>
    <s v="PVC2023103"/>
    <s v="Standard"/>
    <n v="39"/>
    <s v="ADULT"/>
    <s v="UNITED BANK FOR AFRICA"/>
    <s v="USSD"/>
    <s v="DP3P413"/>
    <n v="6237"/>
  </r>
  <r>
    <s v="February"/>
    <d v="2022-02-12T00:00:00"/>
    <s v="DP3F592"/>
    <x v="45"/>
    <s v="Gclubbs@coriftech.com"/>
    <s v="Female"/>
    <s v="PVC2023109"/>
    <s v="Premium"/>
    <n v="39"/>
    <s v="ADULT"/>
    <s v="FIDELITY BANK"/>
    <s v="USSD"/>
    <s v="DP2S281"/>
    <n v="26381"/>
  </r>
  <r>
    <s v="February"/>
    <d v="2022-02-12T00:00:00"/>
    <s v="DP3V500"/>
    <x v="7"/>
    <s v="Bbest@gmail.com"/>
    <s v="Female"/>
    <s v="PVC2023125"/>
    <s v="Premium"/>
    <n v="28"/>
    <s v="ADULT"/>
    <s v="WEMA BANK"/>
    <s v="Mobile Transfer"/>
    <s v="DP2R199"/>
    <n v="41363"/>
  </r>
  <r>
    <s v="February"/>
    <d v="2022-02-13T00:00:00"/>
    <s v="DP2Q171"/>
    <x v="12"/>
    <s v="Epanovsky@gmail.com"/>
    <s v="Female"/>
    <s v="PVC2023198"/>
    <s v="Gold"/>
    <n v="19"/>
    <s v="TEEN"/>
    <s v="ZENITH BANK"/>
    <s v="Online Banking"/>
    <s v="DP3M491"/>
    <n v="43836"/>
  </r>
  <r>
    <s v="February"/>
    <d v="2022-02-13T00:00:00"/>
    <s v="DP3S605"/>
    <x v="46"/>
    <s v="Nyancer@gmail.com"/>
    <s v="Female"/>
    <s v="PVC2023129"/>
    <s v="Gold"/>
    <n v="29"/>
    <s v="ADULT"/>
    <s v="ACCESS BANK"/>
    <s v="Partner Agent"/>
    <s v="DP3Z532"/>
    <n v="28301"/>
  </r>
  <r>
    <s v="February"/>
    <d v="2022-02-14T00:00:00"/>
    <s v="DP2Z151"/>
    <x v="47"/>
    <s v="Tmicheal@coriftech.com"/>
    <s v="Male"/>
    <s v="PVC2023188"/>
    <s v="Standard"/>
    <n v="46"/>
    <s v="SENIOR CITIZEN"/>
    <s v="STANBIC IBTC BANK"/>
    <s v="Online Banking"/>
    <s v="DP2Y261"/>
    <n v="159903"/>
  </r>
  <r>
    <s v="February"/>
    <d v="2022-02-15T00:00:00"/>
    <s v="DP2I190"/>
    <x v="38"/>
    <s v="Atillman@ymail.com"/>
    <s v="Male"/>
    <s v="PVC2023119"/>
    <s v="Gold"/>
    <n v="63"/>
    <s v="OLD CITIZEN"/>
    <s v="ZENITH BANK"/>
    <s v="Mobile Transfer"/>
    <s v="DP2Z127"/>
    <n v="17398"/>
  </r>
  <r>
    <s v="February"/>
    <d v="2022-02-15T00:00:00"/>
    <s v="DP2Z205"/>
    <x v="3"/>
    <s v="Balexander@ymail.com"/>
    <s v="Male"/>
    <s v="PVC2023113"/>
    <s v="Premium"/>
    <n v="61"/>
    <s v="OLD CITIZEN"/>
    <s v="FIRST BANK"/>
    <s v="Over The Counter"/>
    <s v="DP2B156"/>
    <n v="40687"/>
  </r>
  <r>
    <s v="February"/>
    <d v="2022-02-15T00:00:00"/>
    <s v="DP3D455"/>
    <x v="48"/>
    <s v="Lporter@gmail.com"/>
    <s v="Female"/>
    <s v="PVC2023137"/>
    <s v="Gold"/>
    <n v="68"/>
    <s v="OLD CITIZEN"/>
    <s v="ACCESS BANK"/>
    <s v="USSD"/>
    <s v="DP3M599"/>
    <n v="53010"/>
  </r>
  <r>
    <s v="February"/>
    <d v="2022-02-15T00:00:00"/>
    <s v="DP2M194"/>
    <x v="21"/>
    <s v="Abarnes@gmail.com"/>
    <s v="Female"/>
    <s v="PVC2023136"/>
    <s v="Premium"/>
    <n v="58"/>
    <s v="SENIOR CITIZEN"/>
    <s v="FIDELITY BANK"/>
    <s v="Online Banking"/>
    <s v="DP3N600"/>
    <n v="63523"/>
  </r>
  <r>
    <s v="February"/>
    <d v="2022-02-15T00:00:00"/>
    <s v="DP2H270"/>
    <x v="3"/>
    <s v="Balexander@ymail.com"/>
    <s v="Male"/>
    <s v="PVC2023113"/>
    <s v="Premium"/>
    <n v="61"/>
    <s v="OLD CITIZEN"/>
    <s v="GTBANK PLC"/>
    <s v="Partner Agent"/>
    <s v="DP2F187"/>
    <n v="125905"/>
  </r>
  <r>
    <s v="February"/>
    <d v="2022-02-15T00:00:00"/>
    <s v="DP3P440"/>
    <x v="44"/>
    <s v="Lbarnett@gmail.com"/>
    <s v="Male"/>
    <s v="PVC2023103"/>
    <s v="Standard"/>
    <n v="39"/>
    <s v="ADULT"/>
    <s v="FIRST BANK"/>
    <s v="Partner Agent"/>
    <s v="DP3W339"/>
    <n v="132510"/>
  </r>
  <r>
    <s v="February"/>
    <d v="2022-02-15T00:00:00"/>
    <s v="DP3Y504"/>
    <x v="48"/>
    <s v="Lporter@gmail.com"/>
    <s v="Female"/>
    <s v="PVC2023137"/>
    <s v="Gold"/>
    <n v="68"/>
    <s v="OLD CITIZEN"/>
    <s v="UNION BANK"/>
    <s v="Partner Agent"/>
    <s v="DP3B453"/>
    <n v="66175"/>
  </r>
  <r>
    <s v="February"/>
    <d v="2022-02-16T00:00:00"/>
    <s v="DP2S200"/>
    <x v="33"/>
    <s v="Jgarza@ymail.com"/>
    <s v="Male"/>
    <s v="PVC2023147"/>
    <s v="Premium"/>
    <n v="60"/>
    <s v="SENIOR CITIZEN"/>
    <s v="STANDARD CHARTERED"/>
    <s v="Partner Agent"/>
    <s v="DP2D185"/>
    <n v="103758"/>
  </r>
  <r>
    <s v="February"/>
    <d v="2022-02-16T00:00:00"/>
    <s v="DP3S362"/>
    <x v="49"/>
    <s v="Aperkins@coriftech.com"/>
    <s v="Female"/>
    <s v="PVC2023135"/>
    <s v="Standard"/>
    <n v="23"/>
    <s v="ADULT"/>
    <s v="FIDELITY BANK"/>
    <s v="Mobile Transfer"/>
    <s v="DP3A506"/>
    <n v="23489"/>
  </r>
  <r>
    <s v="February"/>
    <d v="2022-02-17T00:00:00"/>
    <s v="DP2E186"/>
    <x v="20"/>
    <s v="Tperkins@coriftech.com"/>
    <s v="Female"/>
    <s v="PVC2023176"/>
    <s v="Standard"/>
    <n v="73"/>
    <s v="OLD CITIZEN"/>
    <s v="UNITED BANK FOR AFRICA"/>
    <s v="Online Banking"/>
    <s v="DP2C130"/>
    <n v="111154"/>
  </r>
  <r>
    <s v="February"/>
    <d v="2022-02-17T00:00:00"/>
    <s v="DP3Z313"/>
    <x v="11"/>
    <s v="Iselhorst@coriftech.com"/>
    <s v="Female"/>
    <s v="PVC2023144"/>
    <s v="Premium"/>
    <n v="54"/>
    <s v="SENIOR CITIZEN"/>
    <s v="UNITED BANK FOR AFRICA"/>
    <s v="Mobile Transfer"/>
    <s v="DP2K192"/>
    <n v="33725"/>
  </r>
  <r>
    <s v="February"/>
    <d v="2022-02-18T00:00:00"/>
    <s v="DP3V527"/>
    <x v="7"/>
    <s v="Bbest@gmail.com"/>
    <s v="Female"/>
    <s v="PVC2023125"/>
    <s v="Premium"/>
    <n v="28"/>
    <s v="ADULT"/>
    <s v="FIRST BANK"/>
    <s v="Partner Agent"/>
    <s v="DP3Z556"/>
    <n v="122851"/>
  </r>
  <r>
    <s v="February"/>
    <d v="2022-02-18T00:00:00"/>
    <s v="DP3X476"/>
    <x v="12"/>
    <s v="Epanovsky@gmail.com"/>
    <s v="Female"/>
    <s v="PVC2023198"/>
    <s v="Gold"/>
    <n v="19"/>
    <s v="TEEN"/>
    <s v="UNION BANK"/>
    <s v="Partner Agent"/>
    <s v="DP2R145"/>
    <n v="46472"/>
  </r>
  <r>
    <s v="February"/>
    <d v="2022-02-19T00:00:00"/>
    <s v="DP3X341"/>
    <x v="48"/>
    <s v="Lporter@gmail.com"/>
    <s v="Female"/>
    <s v="PVC2023137"/>
    <s v="Gold"/>
    <n v="68"/>
    <s v="OLD CITIZEN"/>
    <s v="UNION BANK"/>
    <s v="Online Banking"/>
    <s v="DP3C535"/>
    <n v="124432"/>
  </r>
  <r>
    <s v="February"/>
    <d v="2022-02-19T00:00:00"/>
    <s v="DP3M329"/>
    <x v="16"/>
    <s v="Lkey@coriftech.com"/>
    <s v="Female"/>
    <s v="PVC2023130"/>
    <s v="Premium"/>
    <n v="31"/>
    <s v="ADULT"/>
    <s v="UNITED BANK FOR AFRICA"/>
    <s v="USSD"/>
    <s v="DP2S119"/>
    <n v="176107"/>
  </r>
  <r>
    <s v="February"/>
    <d v="2022-02-20T00:00:00"/>
    <s v="DP2Z127"/>
    <x v="50"/>
    <s v="Jmckinney@coriftech.com"/>
    <s v="Female"/>
    <s v="PVC2023107"/>
    <s v="Gold"/>
    <n v="31"/>
    <s v="ADULT"/>
    <s v="ACCESS BANK"/>
    <s v="Partner Agent"/>
    <s v="DP3I379"/>
    <n v="60558"/>
  </r>
  <r>
    <s v="February"/>
    <d v="2022-02-21T00:00:00"/>
    <s v="DP2S173"/>
    <x v="51"/>
    <s v="Asolis@ymail.com"/>
    <s v="Female"/>
    <s v="PVC2023124"/>
    <s v="Standard"/>
    <n v="29"/>
    <s v="ADULT"/>
    <s v="STANBIC IBTC BANK"/>
    <s v="USSD"/>
    <s v="DP3Z316"/>
    <n v="43851"/>
  </r>
  <r>
    <s v="February"/>
    <d v="2022-02-22T00:00:00"/>
    <s v="DP3Z448"/>
    <x v="30"/>
    <s v="Logbonna@ymail.com"/>
    <s v="Male"/>
    <s v="PVC2023111"/>
    <s v="Premium"/>
    <n v="46"/>
    <s v="SENIOR CITIZEN"/>
    <s v="FIDELITY BANK"/>
    <s v="Partner Agent"/>
    <s v="DP3R388"/>
    <n v="133114"/>
  </r>
  <r>
    <s v="February"/>
    <d v="2022-02-22T00:00:00"/>
    <s v="DP3E456"/>
    <x v="8"/>
    <s v="Oduke@coriftech.com"/>
    <s v="Male"/>
    <s v="PVC2023108"/>
    <s v="Standard"/>
    <n v="48"/>
    <s v="SENIOR CITIZEN"/>
    <s v="WEMA BANK"/>
    <s v="Over The Counter"/>
    <s v="DP3J434"/>
    <n v="174296"/>
  </r>
  <r>
    <s v="February"/>
    <d v="2022-02-22T00:00:00"/>
    <s v="DP2K273"/>
    <x v="52"/>
    <s v="Kjimenez@ymail.com"/>
    <s v="Female"/>
    <s v="PVC2023165"/>
    <s v="Standard"/>
    <n v="35"/>
    <s v="ADULT"/>
    <s v="STANBIC IBTC BANK"/>
    <s v="Mobile Transfer"/>
    <s v="DP2A128"/>
    <n v="97205"/>
  </r>
  <r>
    <s v="February"/>
    <d v="2022-02-22T00:00:00"/>
    <s v="DP3A533"/>
    <x v="12"/>
    <s v="Epanovsky@gmail.com"/>
    <s v="Female"/>
    <s v="PVC2023198"/>
    <s v="Gold"/>
    <n v="19"/>
    <s v="TEEN"/>
    <s v="ZENITH BANK"/>
    <s v="Partner Agent"/>
    <s v="DP3J461"/>
    <n v="69699"/>
  </r>
  <r>
    <s v="February"/>
    <d v="2022-02-25T00:00:00"/>
    <s v="DP2T201"/>
    <x v="53"/>
    <s v="Ematt@gmail.com"/>
    <s v="Male"/>
    <s v="PVC2023104"/>
    <s v="Standard"/>
    <n v="19"/>
    <s v="TEEN"/>
    <s v="STANDARD CHARTERED"/>
    <s v="Online Banking"/>
    <s v="DP2B237"/>
    <n v="138550"/>
  </r>
  <r>
    <s v="February"/>
    <d v="2022-02-25T00:00:00"/>
    <s v="DP2K111"/>
    <x v="54"/>
    <s v="Ojohnson@coriftech.com"/>
    <s v="Female"/>
    <s v="PVC2023122"/>
    <s v="Gold"/>
    <n v="45"/>
    <s v="SENIOR CITIZEN"/>
    <s v="ACCESS BANK"/>
    <s v="Partner Agent"/>
    <s v="DP3E429"/>
    <n v="21265"/>
  </r>
  <r>
    <s v="February"/>
    <d v="2022-02-26T00:00:00"/>
    <s v="DP3V608"/>
    <x v="34"/>
    <s v="Padams@coriftech.com"/>
    <s v="Male"/>
    <s v="PVC2023126"/>
    <s v="Standard"/>
    <n v="64"/>
    <s v="OLD CITIZEN"/>
    <s v="GTBANK PLC"/>
    <s v="Partner Agent"/>
    <s v="DP3I352"/>
    <n v="107133"/>
  </r>
  <r>
    <s v="February"/>
    <d v="2022-02-26T00:00:00"/>
    <s v="DP2A155"/>
    <x v="51"/>
    <s v="Asolis@ymail.com"/>
    <s v="Female"/>
    <s v="PVC2023124"/>
    <s v="Standard"/>
    <n v="29"/>
    <s v="ADULT"/>
    <s v="ZENITH BANK"/>
    <s v="Partner Agent"/>
    <s v="DP2J110"/>
    <n v="28895"/>
  </r>
  <r>
    <s v="February"/>
    <d v="2022-02-26T00:00:00"/>
    <s v="DP2F214"/>
    <x v="20"/>
    <s v="Tperkins@coriftech.com"/>
    <s v="Female"/>
    <s v="PVC2023176"/>
    <s v="Standard"/>
    <n v="73"/>
    <s v="OLD CITIZEN"/>
    <s v="ZENITH BANK"/>
    <s v="Mobile Transfer"/>
    <s v="DP3P602"/>
    <n v="183111"/>
  </r>
  <r>
    <s v="February"/>
    <d v="2022-02-28T00:00:00"/>
    <s v="DP3Z424"/>
    <x v="55"/>
    <s v="Csmith@ymail.com"/>
    <s v="Male"/>
    <s v="PVC2023183"/>
    <s v="Standard"/>
    <n v="72"/>
    <s v="OLD CITIZEN"/>
    <s v="ZENITH BANK"/>
    <s v="Over The Counter"/>
    <s v="DP3H486"/>
    <n v="117265"/>
  </r>
  <r>
    <s v="March"/>
    <d v="2022-03-01T00:00:00"/>
    <s v="DP3A371"/>
    <x v="56"/>
    <s v="Aezichi@coriftech.com"/>
    <s v="Male"/>
    <s v="PVC2023131"/>
    <s v="Standard"/>
    <n v="40"/>
    <s v="ADULT"/>
    <s v="STANBIC IBTC BANK"/>
    <s v="Online Banking"/>
    <s v="DP3Z451"/>
    <n v="68762"/>
  </r>
  <r>
    <s v="March"/>
    <d v="2022-03-03T00:00:00"/>
    <s v="DP2A209"/>
    <x v="57"/>
    <s v="Avang@coriftech.com"/>
    <s v="Male"/>
    <s v="PVC2023199"/>
    <s v="Standard"/>
    <n v="44"/>
    <s v="SENIOR CITIZEN"/>
    <s v="FIDELITY BANK"/>
    <s v="Partner Agent"/>
    <s v="DP3O466"/>
    <n v="32491"/>
  </r>
  <r>
    <s v="March"/>
    <d v="2022-03-03T00:00:00"/>
    <s v="DP2L247"/>
    <x v="58"/>
    <s v="Nmack@gmail.com"/>
    <s v="Male"/>
    <s v="PVC2023139"/>
    <s v="Gold"/>
    <n v="64"/>
    <s v="OLD CITIZEN"/>
    <s v="UNION BANK"/>
    <s v="USSD"/>
    <s v="DP3P386"/>
    <n v="96700"/>
  </r>
  <r>
    <s v="March"/>
    <d v="2022-03-03T00:00:00"/>
    <s v="DP3T363"/>
    <x v="38"/>
    <s v="Atillman@ymail.com"/>
    <s v="Male"/>
    <s v="PVC2023119"/>
    <s v="Gold"/>
    <n v="63"/>
    <s v="OLD CITIZEN"/>
    <s v="UNITED BANK FOR AFRICA"/>
    <s v="USSD"/>
    <s v="DP3X476"/>
    <n v="80306"/>
  </r>
  <r>
    <s v="March"/>
    <d v="2022-03-03T00:00:00"/>
    <s v="DP3N465"/>
    <x v="45"/>
    <s v="Gclubbs@coriftech.com"/>
    <s v="Female"/>
    <s v="PVC2023109"/>
    <s v="Premium"/>
    <n v="39"/>
    <s v="ADULT"/>
    <s v="WEMA BANK"/>
    <s v="Online Banking"/>
    <s v="DP2J245"/>
    <n v="165153"/>
  </r>
  <r>
    <s v="March"/>
    <d v="2022-03-04T00:00:00"/>
    <s v="DP2O250"/>
    <x v="59"/>
    <s v="Sorr@gmail.com"/>
    <s v="Female"/>
    <s v="PVC2023164"/>
    <s v="Gold"/>
    <n v="40"/>
    <s v="ADULT"/>
    <s v="ZENITH BANK"/>
    <s v="Mobile Transfer"/>
    <s v="DP3S443"/>
    <n v="86635"/>
  </r>
  <r>
    <s v="March"/>
    <d v="2022-03-04T00:00:00"/>
    <s v="DP2O196"/>
    <x v="18"/>
    <s v="Hpanovsky@ymail.com"/>
    <s v="Male"/>
    <s v="PVC2023182"/>
    <s v="Standard"/>
    <n v="59"/>
    <s v="SENIOR CITIZEN"/>
    <s v="ZENITH BANK"/>
    <s v="Mobile Transfer"/>
    <s v="DP3V554"/>
    <n v="127046"/>
  </r>
  <r>
    <s v="March"/>
    <d v="2022-03-04T00:00:00"/>
    <s v="DP2F106"/>
    <x v="8"/>
    <s v="Oduke@coriftech.com"/>
    <s v="Male"/>
    <s v="PVC2023108"/>
    <s v="Standard"/>
    <n v="48"/>
    <s v="SENIOR CITIZEN"/>
    <s v="UNITED BANK FOR AFRICA"/>
    <s v="USSD"/>
    <s v="DP3G566"/>
    <n v="120178"/>
  </r>
  <r>
    <s v="March"/>
    <d v="2022-03-06T00:00:00"/>
    <s v="DP3Y396"/>
    <x v="0"/>
    <s v="Umaddox@gmail.com"/>
    <s v="Male"/>
    <s v="PVC2023166"/>
    <s v="Standard"/>
    <n v="41"/>
    <s v="SENIOR CITIZEN"/>
    <s v="STANDARD CHARTERED"/>
    <s v="Mobile Transfer"/>
    <s v="DP3L490"/>
    <n v="125612"/>
  </r>
  <r>
    <s v="March"/>
    <d v="2022-03-06T00:00:00"/>
    <s v="DP3O547"/>
    <x v="42"/>
    <s v="Aweaver@ymail.com"/>
    <s v="Male"/>
    <s v="PVC2023105"/>
    <s v="Gold"/>
    <n v="39"/>
    <s v="ADULT"/>
    <s v="UNION BANK"/>
    <s v="Online Banking"/>
    <s v="DP3K516"/>
    <n v="83538"/>
  </r>
  <r>
    <s v="March"/>
    <d v="2022-03-08T00:00:00"/>
    <s v="DP3D347"/>
    <x v="60"/>
    <s v="Ffelix@coriftech.com"/>
    <s v="Female"/>
    <s v="PVC2023145"/>
    <s v="Standard"/>
    <n v="65"/>
    <s v="OLD CITIZEN"/>
    <s v="ZENITH BANK"/>
    <s v="Mobile Transfer"/>
    <s v="DP3M572"/>
    <n v="95070"/>
  </r>
  <r>
    <s v="March"/>
    <d v="2022-03-08T00:00:00"/>
    <s v="DP2N195"/>
    <x v="61"/>
    <s v="Mherriot@coriftech.com"/>
    <s v="Female"/>
    <s v="PVC2023127"/>
    <s v="Premium"/>
    <n v="37"/>
    <s v="ADULT"/>
    <s v="UNITED BANK FOR AFRICA"/>
    <s v="Mobile Transfer"/>
    <s v="DP2A101"/>
    <n v="24533"/>
  </r>
  <r>
    <s v="March"/>
    <d v="2022-03-08T00:00:00"/>
    <s v="DP3F457"/>
    <x v="62"/>
    <s v="Bfernandez@gmail.com"/>
    <s v="Male"/>
    <s v="PVC2023191"/>
    <s v="Premium"/>
    <n v="47"/>
    <s v="SENIOR CITIZEN"/>
    <s v="FIRST BANK"/>
    <s v="USSD"/>
    <s v="DP3U526"/>
    <n v="18396"/>
  </r>
  <r>
    <s v="March"/>
    <d v="2022-03-08T00:00:00"/>
    <s v="DP2B156"/>
    <x v="63"/>
    <s v="Nhicks@gmail.com"/>
    <s v="Male"/>
    <s v="PVC2023112"/>
    <s v="Gold"/>
    <n v="76"/>
    <s v="OLD CITIZEN"/>
    <s v="STANBIC IBTC BANK"/>
    <s v="USSD"/>
    <s v="DP3K489"/>
    <n v="115254"/>
  </r>
  <r>
    <s v="March"/>
    <d v="2022-03-09T00:00:00"/>
    <s v="DP2R226"/>
    <x v="54"/>
    <s v="Ojohnson@coriftech.com"/>
    <s v="Female"/>
    <s v="PVC2023122"/>
    <s v="Gold"/>
    <n v="45"/>
    <s v="SENIOR CITIZEN"/>
    <s v="UNITED BANK FOR AFRICA"/>
    <s v="Online Banking"/>
    <s v="DP3H540"/>
    <n v="47651"/>
  </r>
  <r>
    <s v="March"/>
    <d v="2022-03-09T00:00:00"/>
    <s v="DP3W312"/>
    <x v="38"/>
    <s v="Atillman@ymail.com"/>
    <s v="Male"/>
    <s v="PVC2023119"/>
    <s v="Gold"/>
    <n v="63"/>
    <s v="OLD CITIZEN"/>
    <s v="ACCESS BANK"/>
    <s v="Partner Agent"/>
    <s v="DP2Q306"/>
    <n v="181930"/>
  </r>
  <r>
    <s v="March"/>
    <d v="2022-03-11T00:00:00"/>
    <s v="DP2D266"/>
    <x v="38"/>
    <s v="Atillman@ymail.com"/>
    <s v="Male"/>
    <s v="PVC2023119"/>
    <s v="Gold"/>
    <n v="63"/>
    <s v="OLD CITIZEN"/>
    <s v="STANDARD CHARTERED"/>
    <s v="Over The Counter"/>
    <s v="DP3O493"/>
    <n v="138007"/>
  </r>
  <r>
    <s v="March"/>
    <d v="2022-03-11T00:00:00"/>
    <s v="DP3H405"/>
    <x v="64"/>
    <s v="Ajacob@ymail.com"/>
    <s v="Male"/>
    <s v="PVC2023142"/>
    <s v="Gold"/>
    <n v="21"/>
    <s v="ADULT"/>
    <s v="STANBIC IBTC BANK"/>
    <s v="USSD"/>
    <s v="DP3E510"/>
    <n v="64122"/>
  </r>
  <r>
    <s v="March"/>
    <d v="2022-03-12T00:00:00"/>
    <s v="DP3Y423"/>
    <x v="8"/>
    <s v="Oduke@coriftech.com"/>
    <s v="Male"/>
    <s v="PVC2023108"/>
    <s v="Standard"/>
    <n v="48"/>
    <s v="SENIOR CITIZEN"/>
    <s v="STANBIC IBTC BANK"/>
    <s v="Mobile Transfer"/>
    <s v="DP2B102"/>
    <n v="41060"/>
  </r>
  <r>
    <s v="March"/>
    <d v="2022-03-12T00:00:00"/>
    <s v="DP3L382"/>
    <x v="52"/>
    <s v="Kjimenez@ymail.com"/>
    <s v="Female"/>
    <s v="PVC2023165"/>
    <s v="Standard"/>
    <n v="35"/>
    <s v="ADULT"/>
    <s v="WEMA BANK"/>
    <s v="USSD"/>
    <s v="DP3Q333"/>
    <n v="15334"/>
  </r>
  <r>
    <s v="March"/>
    <d v="2022-03-13T00:00:00"/>
    <s v="DP3S443"/>
    <x v="51"/>
    <s v="Asolis@ymail.com"/>
    <s v="Female"/>
    <s v="PVC2023124"/>
    <s v="Standard"/>
    <n v="29"/>
    <s v="ADULT"/>
    <s v="ZENITH BANK"/>
    <s v="Partner Agent"/>
    <s v="DP2R253"/>
    <n v="169798"/>
  </r>
  <r>
    <s v="March"/>
    <d v="2022-03-13T00:00:00"/>
    <s v="DP3T471"/>
    <x v="61"/>
    <s v="Mherriot@coriftech.com"/>
    <s v="Female"/>
    <s v="PVC2023127"/>
    <s v="Premium"/>
    <n v="37"/>
    <s v="ADULT"/>
    <s v="STANBIC IBTC BANK"/>
    <s v="Online Banking"/>
    <s v="DP3M383"/>
    <n v="161232"/>
  </r>
  <r>
    <s v="March"/>
    <d v="2022-03-13T00:00:00"/>
    <s v="DP3I541"/>
    <x v="65"/>
    <s v="Omitchell@ymail.com"/>
    <s v="Female"/>
    <s v="PVC2023190"/>
    <s v="Premium"/>
    <n v="28"/>
    <s v="ADULT"/>
    <s v="GTBANK PLC"/>
    <s v="Mobile Transfer"/>
    <s v="DP3Z448"/>
    <n v="155660"/>
  </r>
  <r>
    <s v="March"/>
    <d v="2022-03-13T00:00:00"/>
    <s v="DP3Q387"/>
    <x v="24"/>
    <s v="Afitzpatrick@gmail.com"/>
    <s v="Male"/>
    <s v="PVC2023148"/>
    <s v="Standard"/>
    <n v="59"/>
    <s v="SENIOR CITIZEN"/>
    <s v="ZENITH BANK"/>
    <s v="Mobile Transfer"/>
    <s v="DP2M194"/>
    <n v="12955"/>
  </r>
  <r>
    <s v="March"/>
    <d v="2022-03-14T00:00:00"/>
    <s v="DP3R550"/>
    <x v="66"/>
    <s v="Ocanini@coriftech.com"/>
    <s v="Female"/>
    <s v="PVC2023106"/>
    <s v="Gold"/>
    <n v="45"/>
    <s v="SENIOR CITIZEN"/>
    <s v="STANBIC IBTC BANK"/>
    <s v="USSD"/>
    <s v="DP3R496"/>
    <n v="30887"/>
  </r>
  <r>
    <s v="March"/>
    <d v="2022-03-15T00:00:00"/>
    <s v="DP2P305"/>
    <x v="38"/>
    <s v="Atillman@ymail.com"/>
    <s v="Male"/>
    <s v="PVC2023119"/>
    <s v="Gold"/>
    <n v="63"/>
    <s v="OLD CITIZEN"/>
    <s v="UNITED BANK FOR AFRICA"/>
    <s v="Partner Agent"/>
    <s v="DP3Z502"/>
    <n v="136543"/>
  </r>
  <r>
    <s v="March"/>
    <d v="2022-03-15T00:00:00"/>
    <s v="DP3Z367"/>
    <x v="33"/>
    <s v="Jgarza@ymail.com"/>
    <s v="Male"/>
    <s v="PVC2023147"/>
    <s v="Premium"/>
    <n v="60"/>
    <s v="SENIOR CITIZEN"/>
    <s v="FIRST BANK"/>
    <s v="Online Banking"/>
    <s v="DP3J488"/>
    <n v="167085"/>
  </r>
  <r>
    <s v="March"/>
    <d v="2022-03-16T00:00:00"/>
    <s v="DP3H351"/>
    <x v="67"/>
    <s v="Iburris@coriftech.com"/>
    <s v="Female"/>
    <s v="PVC2023128"/>
    <s v="Gold"/>
    <n v="50"/>
    <s v="SENIOR CITIZEN"/>
    <s v="UNITED BANK FOR AFRICA"/>
    <s v="USSD"/>
    <s v="DP2E159"/>
    <n v="14739"/>
  </r>
  <r>
    <s v="March"/>
    <d v="2022-03-16T00:00:00"/>
    <s v="DP3R604"/>
    <x v="68"/>
    <s v="Tdennis@gmail.com"/>
    <s v="Male"/>
    <s v="PVC2023133"/>
    <s v="Premium"/>
    <n v="37"/>
    <s v="ADULT"/>
    <s v="WEMA BANK"/>
    <s v="Online Banking"/>
    <s v="DP2O277"/>
    <n v="83753"/>
  </r>
  <r>
    <s v="March"/>
    <d v="2022-03-17T00:00:00"/>
    <s v="DP3R361"/>
    <x v="28"/>
    <s v="Aezichi@gmail.com"/>
    <s v="Female"/>
    <s v="PVC2023194"/>
    <s v="Standard"/>
    <n v="37"/>
    <s v="ADULT"/>
    <s v="WEMA BANK"/>
    <s v="Mobile Transfer"/>
    <s v="DP3D590"/>
    <n v="113305"/>
  </r>
  <r>
    <s v="March"/>
    <d v="2022-03-17T00:00:00"/>
    <s v="DP3A317"/>
    <x v="9"/>
    <s v="Omcclure@gmail.com"/>
    <s v="Male"/>
    <s v="PVC2023154"/>
    <s v="Standard"/>
    <n v="60"/>
    <s v="SENIOR CITIZEN"/>
    <s v="STANBIC IBTC BANK"/>
    <s v="USSD"/>
    <s v="DP2G107"/>
    <n v="18062"/>
  </r>
  <r>
    <s v="March"/>
    <d v="2022-03-17T00:00:00"/>
    <s v="DP2M248"/>
    <x v="26"/>
    <s v="Cmiller@gmail.com"/>
    <s v="Female"/>
    <s v="PVC2023138"/>
    <s v="Premium"/>
    <n v="66"/>
    <s v="OLD CITIZEN"/>
    <s v="STANBIC IBTC BANK"/>
    <s v="Partner Agent"/>
    <s v="DP2P305"/>
    <n v="31707"/>
  </r>
  <r>
    <s v="March"/>
    <d v="2022-03-18T00:00:00"/>
    <s v="DP2U256"/>
    <x v="53"/>
    <s v="Ematt@gmail.com"/>
    <s v="Male"/>
    <s v="PVC2023104"/>
    <s v="Standard"/>
    <n v="19"/>
    <s v="TEEN"/>
    <s v="STANBIC IBTC BANK"/>
    <s v="Mobile Transfer"/>
    <s v="DP2G269"/>
    <n v="137367"/>
  </r>
  <r>
    <s v="March"/>
    <d v="2022-03-19T00:00:00"/>
    <s v="DP3D428"/>
    <x v="69"/>
    <s v="Aknowles@gmail.com"/>
    <s v="Male"/>
    <s v="PVC2023184"/>
    <s v="Gold"/>
    <n v="29"/>
    <s v="ADULT"/>
    <s v="UNITED BANK FOR AFRICA"/>
    <s v="Partner Agent"/>
    <s v="DP2K300"/>
    <n v="12930"/>
  </r>
  <r>
    <s v="March"/>
    <d v="2022-03-19T00:00:00"/>
    <s v="DP3X422"/>
    <x v="70"/>
    <s v="Jellis@gmail.com"/>
    <s v="Male"/>
    <s v="PVC2023197"/>
    <s v="Premium"/>
    <n v="29"/>
    <s v="ADULT"/>
    <s v="FIDELITY BANK"/>
    <s v="Over The Counter"/>
    <s v="DP2Z151"/>
    <n v="23131"/>
  </r>
  <r>
    <s v="March"/>
    <d v="2022-03-19T00:00:00"/>
    <s v="DP3D482"/>
    <x v="71"/>
    <s v="Ppanovsky@coriftech.com"/>
    <s v="Female"/>
    <s v="PVC2023146"/>
    <s v="Standard"/>
    <n v="59"/>
    <s v="SENIOR CITIZEN"/>
    <s v="ACCESS BANK"/>
    <s v="USSD"/>
    <s v="DP3W420"/>
    <n v="11535"/>
  </r>
  <r>
    <s v="March"/>
    <d v="2022-03-21T00:00:00"/>
    <s v="DP3Z559"/>
    <x v="61"/>
    <s v="Mherriot@coriftech.com"/>
    <s v="Female"/>
    <s v="PVC2023127"/>
    <s v="Premium"/>
    <n v="37"/>
    <s v="ADULT"/>
    <s v="FIRST BANK"/>
    <s v="Partner Agent"/>
    <s v="DP3K408"/>
    <n v="156507"/>
  </r>
  <r>
    <s v="March"/>
    <d v="2022-03-21T00:00:00"/>
    <s v="DP2Y261"/>
    <x v="1"/>
    <s v="Rmitchell@gmail.com"/>
    <s v="Female"/>
    <s v="PVC2023141"/>
    <s v="Premium"/>
    <n v="72"/>
    <s v="OLD CITIZEN"/>
    <s v="FIDELITY BANK"/>
    <s v="Online Banking"/>
    <s v="DP3N519"/>
    <n v="172323"/>
  </r>
  <r>
    <s v="March"/>
    <d v="2022-03-21T00:00:00"/>
    <s v="DP2E213"/>
    <x v="70"/>
    <s v="Jellis@gmail.com"/>
    <s v="Male"/>
    <s v="PVC2023197"/>
    <s v="Premium"/>
    <n v="29"/>
    <s v="ADULT"/>
    <s v="GTBANK PLC"/>
    <s v="Partner Agent"/>
    <s v="DP3M464"/>
    <n v="132331"/>
  </r>
  <r>
    <s v="March"/>
    <d v="2022-03-23T00:00:00"/>
    <s v="DP2T255"/>
    <x v="72"/>
    <s v="Fadams@ymail.com"/>
    <s v="Male"/>
    <s v="PVC2023172"/>
    <s v="Standard"/>
    <n v="50"/>
    <s v="SENIOR CITIZEN"/>
    <s v="WEMA BANK"/>
    <s v="USSD"/>
    <s v="DP3Z583"/>
    <n v="160844"/>
  </r>
  <r>
    <s v="March"/>
    <d v="2022-03-23T00:00:00"/>
    <s v="DP2M302"/>
    <x v="24"/>
    <s v="Afitzpatrick@gmail.com"/>
    <s v="Male"/>
    <s v="PVC2023148"/>
    <s v="Standard"/>
    <n v="59"/>
    <s v="SENIOR CITIZEN"/>
    <s v="STANDARD CHARTERED"/>
    <s v="Mobile Transfer"/>
    <s v="DP3F322"/>
    <n v="167238"/>
  </r>
  <r>
    <s v="March"/>
    <d v="2022-03-24T00:00:00"/>
    <s v="DP3R577"/>
    <x v="50"/>
    <s v="Jmckinney@coriftech.com"/>
    <s v="Female"/>
    <s v="PVC2023107"/>
    <s v="Gold"/>
    <n v="31"/>
    <s v="ADULT"/>
    <s v="ZENITH BANK"/>
    <s v="Over The Counter"/>
    <s v="DP3D509"/>
    <n v="137283"/>
  </r>
  <r>
    <s v="March"/>
    <d v="2022-03-24T00:00:00"/>
    <s v="DP2I217"/>
    <x v="54"/>
    <s v="Ojohnson@coriftech.com"/>
    <s v="Female"/>
    <s v="PVC2023122"/>
    <s v="Gold"/>
    <n v="45"/>
    <s v="SENIOR CITIZEN"/>
    <s v="UNION BANK"/>
    <s v="Mobile Transfer"/>
    <s v="DP2H297"/>
    <n v="179722"/>
  </r>
  <r>
    <s v="March"/>
    <d v="2022-03-24T00:00:00"/>
    <s v="DP2E159"/>
    <x v="63"/>
    <s v="Nhicks@gmail.com"/>
    <s v="Male"/>
    <s v="PVC2023112"/>
    <s v="Gold"/>
    <n v="76"/>
    <s v="OLD CITIZEN"/>
    <s v="ACCESS BANK"/>
    <s v="Online Banking"/>
    <s v="DP3Y504"/>
    <n v="106083"/>
  </r>
  <r>
    <s v="March"/>
    <d v="2022-03-25T00:00:00"/>
    <s v="DP2Z178"/>
    <x v="68"/>
    <s v="Tdennis@gmail.com"/>
    <s v="Male"/>
    <s v="PVC2023133"/>
    <s v="Premium"/>
    <n v="37"/>
    <s v="ADULT"/>
    <s v="FIRST BANK"/>
    <s v="Partner Agent"/>
    <s v="DP3U310"/>
    <n v="35165"/>
  </r>
  <r>
    <s v="March"/>
    <d v="2022-03-25T00:00:00"/>
    <s v="DP3G350"/>
    <x v="8"/>
    <s v="Oduke@coriftech.com"/>
    <s v="Male"/>
    <s v="PVC2023108"/>
    <s v="Standard"/>
    <n v="48"/>
    <s v="SENIOR CITIZEN"/>
    <s v="UNITED BANK FOR AFRICA"/>
    <s v="USSD"/>
    <s v="DP2P251"/>
    <n v="12136"/>
  </r>
  <r>
    <s v="March"/>
    <d v="2022-03-26T00:00:00"/>
    <s v="DP3V419"/>
    <x v="71"/>
    <s v="Ppanovsky@coriftech.com"/>
    <s v="Female"/>
    <s v="PVC2023146"/>
    <s v="Standard"/>
    <n v="59"/>
    <s v="SENIOR CITIZEN"/>
    <s v="UNITED BANK FOR AFRICA"/>
    <s v="Partner Agent"/>
    <s v="DP3E348"/>
    <n v="186986"/>
  </r>
  <r>
    <s v="March"/>
    <d v="2022-03-26T00:00:00"/>
    <s v="DP2Y180"/>
    <x v="19"/>
    <s v="Bnankam@coriftech.com"/>
    <s v="Male"/>
    <s v="PVC2023143"/>
    <s v="Gold"/>
    <n v="64"/>
    <s v="OLD CITIZEN"/>
    <s v="GTBANK PLC"/>
    <s v="Mobile Transfer"/>
    <s v="DP3Y423"/>
    <n v="33554"/>
  </r>
  <r>
    <s v="March"/>
    <d v="2022-03-27T00:00:00"/>
    <s v="DP2J218"/>
    <x v="73"/>
    <s v="Fmerritt@gmail.com"/>
    <s v="Female"/>
    <s v="PVC2023193"/>
    <s v="Standard"/>
    <n v="66"/>
    <s v="OLD CITIZEN"/>
    <s v="UNITED BANK FOR AFRICA"/>
    <s v="USSD"/>
    <s v="DP3D455"/>
    <n v="19963"/>
  </r>
  <r>
    <s v="March"/>
    <d v="2022-03-28T00:00:00"/>
    <s v="DP3L409"/>
    <x v="58"/>
    <s v="Nmack@gmail.com"/>
    <s v="Male"/>
    <s v="PVC2023139"/>
    <s v="Gold"/>
    <n v="64"/>
    <s v="OLD CITIZEN"/>
    <s v="FIDELITY BANK"/>
    <s v="Mobile Transfer"/>
    <s v="DP2I271"/>
    <n v="77948"/>
  </r>
  <r>
    <s v="March"/>
    <d v="2022-03-28T00:00:00"/>
    <s v="DP3Y531"/>
    <x v="66"/>
    <s v="Ocanini@coriftech.com"/>
    <s v="Female"/>
    <s v="PVC2023106"/>
    <s v="Gold"/>
    <n v="45"/>
    <s v="SENIOR CITIZEN"/>
    <s v="UNION BANK"/>
    <s v="USSD"/>
    <s v="DP3V419"/>
    <n v="35323"/>
  </r>
  <r>
    <s v="March"/>
    <d v="2022-03-31T00:00:00"/>
    <s v="DP2G269"/>
    <x v="28"/>
    <s v="Aezichi@gmail.com"/>
    <s v="Female"/>
    <s v="PVC2023194"/>
    <s v="Standard"/>
    <n v="37"/>
    <s v="ADULT"/>
    <s v="ZENITH BANK"/>
    <s v="USSD"/>
    <s v="DP2U202"/>
    <n v="172858"/>
  </r>
  <r>
    <s v="March"/>
    <d v="2022-03-31T00:00:00"/>
    <s v="DP3U391"/>
    <x v="12"/>
    <s v="Epanovsky@gmail.com"/>
    <s v="Female"/>
    <s v="PVC2023198"/>
    <s v="Gold"/>
    <n v="19"/>
    <s v="TEEN"/>
    <s v="GTBANK PLC"/>
    <s v="USSD"/>
    <s v="DP2O223"/>
    <n v="46310"/>
  </r>
  <r>
    <s v="April"/>
    <d v="2022-04-01T00:00:00"/>
    <s v="DP2C265"/>
    <x v="74"/>
    <s v="Tbyrd@coriftech.com"/>
    <s v="Male"/>
    <s v="PVC2023157"/>
    <s v="Gold"/>
    <n v="32"/>
    <s v="ADULT"/>
    <s v="ACCESS BANK"/>
    <s v="Mobile Transfer"/>
    <s v="DP3U499"/>
    <n v="148688"/>
  </r>
  <r>
    <s v="April"/>
    <d v="2022-04-02T00:00:00"/>
    <s v="DP2B237"/>
    <x v="36"/>
    <s v="Amacdonald@gmail.com"/>
    <s v="Male"/>
    <s v="PVC2023150"/>
    <s v="Gold"/>
    <n v="29"/>
    <s v="ADULT"/>
    <s v="UNITED BANK FOR AFRICA"/>
    <s v="Online Banking"/>
    <s v="DP2V176"/>
    <n v="101265"/>
  </r>
  <r>
    <s v="April"/>
    <d v="2022-04-03T00:00:00"/>
    <s v="DP2B102"/>
    <x v="12"/>
    <s v="Epanovsky@gmail.com"/>
    <s v="Female"/>
    <s v="PVC2023198"/>
    <s v="Gold"/>
    <n v="19"/>
    <s v="TEEN"/>
    <s v="FIDELITY BANK"/>
    <s v="USSD"/>
    <s v="DP2Z286"/>
    <n v="9637"/>
  </r>
  <r>
    <s v="April"/>
    <d v="2022-04-03T00:00:00"/>
    <s v="DP3C589"/>
    <x v="38"/>
    <s v="Atillman@ymail.com"/>
    <s v="Male"/>
    <s v="PVC2023119"/>
    <s v="Gold"/>
    <n v="63"/>
    <s v="OLD CITIZEN"/>
    <s v="ACCESS BANK"/>
    <s v="Over The Counter"/>
    <s v="DP3K543"/>
    <n v="91336"/>
  </r>
  <r>
    <s v="April"/>
    <d v="2022-04-04T00:00:00"/>
    <s v="DP2Q306"/>
    <x v="75"/>
    <s v="Eduane@gmail.com"/>
    <s v="Male"/>
    <s v="PVC2023195"/>
    <s v="Standard"/>
    <n v="35"/>
    <s v="ADULT"/>
    <s v="UNITED BANK FOR AFRICA"/>
    <s v="Partner Agent"/>
    <s v="DP2M113"/>
    <n v="68759"/>
  </r>
  <r>
    <s v="April"/>
    <d v="2022-04-05T00:00:00"/>
    <s v="DP3Q576"/>
    <x v="51"/>
    <s v="Asolis@ymail.com"/>
    <s v="Female"/>
    <s v="PVC2023124"/>
    <s v="Standard"/>
    <n v="29"/>
    <s v="ADULT"/>
    <s v="UNION BANK"/>
    <s v="Partner Agent"/>
    <s v="DP3L517"/>
    <n v="177389"/>
  </r>
  <r>
    <s v="April"/>
    <d v="2022-04-06T00:00:00"/>
    <s v="DP3O601"/>
    <x v="56"/>
    <s v="Aezichi@coriftech.com"/>
    <s v="Male"/>
    <s v="PVC2023131"/>
    <s v="Standard"/>
    <n v="40"/>
    <s v="ADULT"/>
    <s v="FIRST BANK"/>
    <s v="Mobile Transfer"/>
    <s v="DP3S362"/>
    <n v="82999"/>
  </r>
  <r>
    <s v="April"/>
    <d v="2022-04-07T00:00:00"/>
    <s v="DP3O493"/>
    <x v="9"/>
    <s v="Omcclure@gmail.com"/>
    <s v="Male"/>
    <s v="PVC2023154"/>
    <s v="Standard"/>
    <n v="60"/>
    <s v="SENIOR CITIZEN"/>
    <s v="STANDARD CHARTERED"/>
    <s v="USSD"/>
    <s v="DP3O439"/>
    <n v="50215"/>
  </r>
  <r>
    <s v="April"/>
    <d v="2022-04-08T00:00:00"/>
    <s v="DP2R145"/>
    <x v="76"/>
    <s v="Swarner@gmail.com"/>
    <s v="Female"/>
    <s v="PVC2023151"/>
    <s v="Gold"/>
    <n v="72"/>
    <s v="OLD CITIZEN"/>
    <s v="ACCESS BANK"/>
    <s v="USSD"/>
    <s v="DP2T174"/>
    <n v="179678"/>
  </r>
  <r>
    <s v="April"/>
    <d v="2022-04-08T00:00:00"/>
    <s v="DP2Z232"/>
    <x v="27"/>
    <s v="Okidd@gmail.com"/>
    <s v="Male"/>
    <s v="PVC2023134"/>
    <s v="Premium"/>
    <n v="68"/>
    <s v="OLD CITIZEN"/>
    <s v="UNITED BANK FOR AFRICA"/>
    <s v="USSD"/>
    <s v="DP2X287"/>
    <n v="43213"/>
  </r>
  <r>
    <s v="April"/>
    <d v="2022-04-09T00:00:00"/>
    <s v="DP3Z532"/>
    <x v="76"/>
    <s v="Swarner@gmail.com"/>
    <s v="Female"/>
    <s v="PVC2023151"/>
    <s v="Gold"/>
    <n v="72"/>
    <s v="OLD CITIZEN"/>
    <s v="WEMA BANK"/>
    <s v="Over The Counter"/>
    <s v="DP2A263"/>
    <n v="131999"/>
  </r>
  <r>
    <s v="April"/>
    <d v="2022-04-10T00:00:00"/>
    <s v="DP3S578"/>
    <x v="77"/>
    <s v="Jdennis@ymail.com"/>
    <s v="Male"/>
    <s v="PVC2023162"/>
    <s v="Premium"/>
    <n v="76"/>
    <s v="OLD CITIZEN"/>
    <s v="UNITED BANK FOR AFRICA"/>
    <s v="USSD"/>
    <s v="DP3G485"/>
    <n v="172353"/>
  </r>
  <r>
    <s v="April"/>
    <d v="2022-04-12T00:00:00"/>
    <s v="DP3N546"/>
    <x v="48"/>
    <s v="Lporter@gmail.com"/>
    <s v="Female"/>
    <s v="PVC2023137"/>
    <s v="Gold"/>
    <n v="68"/>
    <s v="OLD CITIZEN"/>
    <s v="ACCESS BANK"/>
    <s v="Partner Agent"/>
    <s v="DP3Q468"/>
    <n v="112323"/>
  </r>
  <r>
    <s v="April"/>
    <d v="2022-04-14T00:00:00"/>
    <s v="DP3E483"/>
    <x v="8"/>
    <s v="Oduke@coriftech.com"/>
    <s v="Male"/>
    <s v="PVC2023108"/>
    <s v="Standard"/>
    <n v="48"/>
    <s v="SENIOR CITIZEN"/>
    <s v="UNITED BANK FOR AFRICA"/>
    <s v="USSD"/>
    <s v="DP3W312"/>
    <n v="185419"/>
  </r>
  <r>
    <s v="April"/>
    <d v="2022-04-15T00:00:00"/>
    <s v="DP2N168"/>
    <x v="78"/>
    <s v="Ijones@ymail.com"/>
    <s v="Male"/>
    <s v="PVC2023171"/>
    <s v="Premium"/>
    <n v="24"/>
    <s v="ADULT"/>
    <s v="FIDELITY BANK"/>
    <s v="Partner Agent"/>
    <s v="DP3Q414"/>
    <n v="96797"/>
  </r>
  <r>
    <s v="April"/>
    <d v="2022-04-16T00:00:00"/>
    <s v="DP3T444"/>
    <x v="79"/>
    <s v="Amcconnell@coriftech.com"/>
    <s v="Female"/>
    <s v="PVC2023168"/>
    <s v="Standard"/>
    <n v="32"/>
    <s v="ADULT"/>
    <s v="FIDELITY BANK"/>
    <s v="Partner Agent"/>
    <s v="DP3H378"/>
    <n v="109351"/>
  </r>
  <r>
    <s v="April"/>
    <d v="2022-04-16T00:00:00"/>
    <s v="DP3I595"/>
    <x v="8"/>
    <s v="Oduke@coriftech.com"/>
    <s v="Male"/>
    <s v="PVC2023108"/>
    <s v="Standard"/>
    <n v="48"/>
    <s v="SENIOR CITIZEN"/>
    <s v="STANBIC IBTC BANK"/>
    <s v="Mobile Transfer"/>
    <s v="DP2X233"/>
    <n v="116999"/>
  </r>
  <r>
    <s v="April"/>
    <d v="2022-04-17T00:00:00"/>
    <s v="DP3N438"/>
    <x v="7"/>
    <s v="Bbest@gmail.com"/>
    <s v="Female"/>
    <s v="PVC2023125"/>
    <s v="Premium"/>
    <n v="28"/>
    <s v="ADULT"/>
    <s v="UNION BANK"/>
    <s v="USSD"/>
    <s v="DP3W528"/>
    <n v="30338"/>
  </r>
  <r>
    <s v="April"/>
    <d v="2022-04-18T00:00:00"/>
    <s v="DP2J245"/>
    <x v="12"/>
    <s v="Epanovsky@gmail.com"/>
    <s v="Female"/>
    <s v="PVC2023198"/>
    <s v="Gold"/>
    <n v="19"/>
    <s v="TEEN"/>
    <s v="WEMA BANK"/>
    <s v="USSD"/>
    <s v="DP3F376"/>
    <n v="32478"/>
  </r>
  <r>
    <s v="April"/>
    <d v="2022-04-20T00:00:00"/>
    <s v="DP2H216"/>
    <x v="55"/>
    <s v="Csmith@ymail.com"/>
    <s v="Male"/>
    <s v="PVC2023183"/>
    <s v="Standard"/>
    <n v="72"/>
    <s v="OLD CITIZEN"/>
    <s v="GTBANK PLC"/>
    <s v="USSD"/>
    <s v="DP3Z421"/>
    <n v="115777"/>
  </r>
  <r>
    <s v="April"/>
    <d v="2022-04-20T00:00:00"/>
    <s v="DP2L274"/>
    <x v="21"/>
    <s v="Abarnes@gmail.com"/>
    <s v="Female"/>
    <s v="PVC2023136"/>
    <s v="Premium"/>
    <n v="58"/>
    <s v="SENIOR CITIZEN"/>
    <s v="UNITED BANK FOR AFRICA"/>
    <s v="Mobile Transfer"/>
    <s v="DP3D536"/>
    <n v="133815"/>
  </r>
  <r>
    <s v="April"/>
    <d v="2022-04-20T00:00:00"/>
    <s v="DP3W393"/>
    <x v="27"/>
    <s v="Okidd@gmail.com"/>
    <s v="Male"/>
    <s v="PVC2023134"/>
    <s v="Premium"/>
    <n v="68"/>
    <s v="OLD CITIZEN"/>
    <s v="UNION BANK"/>
    <s v="Online Banking"/>
    <s v="DP3A479"/>
    <n v="125335"/>
  </r>
  <r>
    <s v="April"/>
    <d v="2022-04-21T00:00:00"/>
    <s v="DP3U553"/>
    <x v="42"/>
    <s v="Aweaver@ymail.com"/>
    <s v="Male"/>
    <s v="PVC2023105"/>
    <s v="Gold"/>
    <n v="39"/>
    <s v="ADULT"/>
    <s v="FIRST BANK"/>
    <s v="Partner Agent"/>
    <s v="DP2W177"/>
    <n v="58922"/>
  </r>
  <r>
    <s v="April"/>
    <d v="2022-04-21T00:00:00"/>
    <s v="DP2B210"/>
    <x v="51"/>
    <s v="Asolis@ymail.com"/>
    <s v="Female"/>
    <s v="PVC2023124"/>
    <s v="Standard"/>
    <n v="29"/>
    <s v="ADULT"/>
    <s v="UNION BANK"/>
    <s v="USSD"/>
    <s v="DP2C211"/>
    <n v="62268"/>
  </r>
  <r>
    <s v="April"/>
    <d v="2022-04-23T00:00:00"/>
    <s v="DP2O169"/>
    <x v="42"/>
    <s v="Aweaver@ymail.com"/>
    <s v="Male"/>
    <s v="PVC2023105"/>
    <s v="Gold"/>
    <n v="39"/>
    <s v="ADULT"/>
    <s v="FIDELITY BANK"/>
    <s v="USSD"/>
    <s v="DP3B588"/>
    <n v="161075"/>
  </r>
  <r>
    <s v="April"/>
    <d v="2022-04-24T00:00:00"/>
    <s v="DP2W177"/>
    <x v="3"/>
    <s v="Balexander@ymail.com"/>
    <s v="Male"/>
    <s v="PVC2023113"/>
    <s v="Premium"/>
    <n v="61"/>
    <s v="OLD CITIZEN"/>
    <s v="UNITED BANK FOR AFRICA"/>
    <s v="Online Banking"/>
    <s v="DP3C589"/>
    <n v="36499"/>
  </r>
  <r>
    <s v="April"/>
    <d v="2022-04-26T00:00:00"/>
    <s v="DP2E240"/>
    <x v="42"/>
    <s v="Aweaver@ymail.com"/>
    <s v="Male"/>
    <s v="PVC2023105"/>
    <s v="Gold"/>
    <n v="39"/>
    <s v="ADULT"/>
    <s v="UNION BANK"/>
    <s v="Mobile Transfer"/>
    <s v="DP2U175"/>
    <n v="84890"/>
  </r>
  <r>
    <s v="April"/>
    <d v="2022-04-26T00:00:00"/>
    <s v="DP2R199"/>
    <x v="54"/>
    <s v="Ojohnson@coriftech.com"/>
    <s v="Female"/>
    <s v="PVC2023122"/>
    <s v="Gold"/>
    <n v="45"/>
    <s v="SENIOR CITIZEN"/>
    <s v="UNION BANK"/>
    <s v="Over The Counter"/>
    <s v="DP3K327"/>
    <n v="168914"/>
  </r>
  <r>
    <s v="April"/>
    <d v="2022-04-27T00:00:00"/>
    <s v="DP3B507"/>
    <x v="33"/>
    <s v="Jgarza@ymail.com"/>
    <s v="Male"/>
    <s v="PVC2023147"/>
    <s v="Premium"/>
    <n v="60"/>
    <s v="SENIOR CITIZEN"/>
    <s v="STANBIC IBTC BANK"/>
    <s v="Over The Counter"/>
    <s v="DP2H216"/>
    <n v="93114"/>
  </r>
  <r>
    <s v="April"/>
    <d v="2022-04-28T00:00:00"/>
    <s v="DP3L436"/>
    <x v="64"/>
    <s v="Ajacob@ymail.com"/>
    <s v="Male"/>
    <s v="PVC2023142"/>
    <s v="Gold"/>
    <n v="21"/>
    <s v="ADULT"/>
    <s v="ACCESS BANK"/>
    <s v="Mobile Transfer"/>
    <s v="DP2T120"/>
    <n v="187378"/>
  </r>
  <r>
    <s v="April"/>
    <d v="2022-04-28T00:00:00"/>
    <s v="DP3O466"/>
    <x v="48"/>
    <s v="Lporter@gmail.com"/>
    <s v="Female"/>
    <s v="PVC2023137"/>
    <s v="Gold"/>
    <n v="68"/>
    <s v="OLD CITIZEN"/>
    <s v="FIRST BANK"/>
    <s v="USSD"/>
    <s v="DP3W582"/>
    <n v="95891"/>
  </r>
  <r>
    <s v="April"/>
    <d v="2022-04-29T00:00:00"/>
    <s v="DP3Q333"/>
    <x v="12"/>
    <s v="Epanovsky@gmail.com"/>
    <s v="Female"/>
    <s v="PVC2023198"/>
    <s v="Gold"/>
    <n v="19"/>
    <s v="TEEN"/>
    <s v="UNITED BANK FOR AFRICA"/>
    <s v="Mobile Transfer"/>
    <s v="DP2C157"/>
    <n v="90409"/>
  </r>
  <r>
    <s v="April"/>
    <d v="2022-04-30T00:00:00"/>
    <s v="DP2U148"/>
    <x v="36"/>
    <s v="Amacdonald@gmail.com"/>
    <s v="Male"/>
    <s v="PVC2023150"/>
    <s v="Gold"/>
    <n v="29"/>
    <s v="ADULT"/>
    <s v="UNION BANK"/>
    <s v="Partner Agent"/>
    <s v="DP3W555"/>
    <n v="122485"/>
  </r>
  <r>
    <s v="April"/>
    <d v="2022-04-30T00:00:00"/>
    <s v="DP2M167"/>
    <x v="62"/>
    <s v="Bfernandez@gmail.com"/>
    <s v="Male"/>
    <s v="PVC2023191"/>
    <s v="Premium"/>
    <n v="47"/>
    <s v="SENIOR CITIZEN"/>
    <s v="UNION BANK"/>
    <s v="USSD"/>
    <s v="DP3H567"/>
    <n v="176495"/>
  </r>
  <r>
    <s v="May"/>
    <d v="2022-05-01T00:00:00"/>
    <s v="DP3L598"/>
    <x v="25"/>
    <s v="Achang@gmail.com"/>
    <s v="Female"/>
    <s v="PVC2023110"/>
    <s v="Premium"/>
    <n v="76"/>
    <s v="OLD CITIZEN"/>
    <s v="ZENITH BANK"/>
    <s v="Over The Counter"/>
    <s v="DP3T552"/>
    <n v="127333"/>
  </r>
  <r>
    <s v="May"/>
    <d v="2022-05-01T00:00:00"/>
    <s v="DP2Z289"/>
    <x v="43"/>
    <s v="Pferris@gmail.com"/>
    <s v="Female"/>
    <s v="PVC2023181"/>
    <s v="Premium"/>
    <n v="48"/>
    <s v="SENIOR CITIZEN"/>
    <s v="UNION BANK"/>
    <s v="Partner Agent"/>
    <s v="DP2Z232"/>
    <n v="98239"/>
  </r>
  <r>
    <s v="May"/>
    <d v="2022-05-01T00:00:00"/>
    <s v="DP3Q414"/>
    <x v="60"/>
    <s v="Ffelix@coriftech.com"/>
    <s v="Female"/>
    <s v="PVC2023145"/>
    <s v="Standard"/>
    <n v="65"/>
    <s v="OLD CITIZEN"/>
    <s v="UNION BANK"/>
    <s v="Online Banking"/>
    <s v="DP2J272"/>
    <n v="35661"/>
  </r>
  <r>
    <s v="May"/>
    <d v="2022-05-01T00:00:00"/>
    <s v="DP2T120"/>
    <x v="51"/>
    <s v="Asolis@ymail.com"/>
    <s v="Female"/>
    <s v="PVC2023124"/>
    <s v="Standard"/>
    <n v="29"/>
    <s v="ADULT"/>
    <s v="STANDARD CHARTERED"/>
    <s v="USSD"/>
    <s v="DP2R172"/>
    <n v="156059"/>
  </r>
  <r>
    <s v="May"/>
    <d v="2022-05-01T00:00:00"/>
    <s v="DP2S227"/>
    <x v="19"/>
    <s v="Bnankam@coriftech.com"/>
    <s v="Male"/>
    <s v="PVC2023143"/>
    <s v="Gold"/>
    <n v="64"/>
    <s v="OLD CITIZEN"/>
    <s v="STANDARD CHARTERED"/>
    <s v="Online Banking"/>
    <s v="DP3C562"/>
    <n v="178678"/>
  </r>
  <r>
    <s v="May"/>
    <d v="2022-05-01T00:00:00"/>
    <s v="DP3F565"/>
    <x v="48"/>
    <s v="Lporter@gmail.com"/>
    <s v="Female"/>
    <s v="PVC2023137"/>
    <s v="Gold"/>
    <n v="68"/>
    <s v="OLD CITIZEN"/>
    <s v="WEMA BANK"/>
    <s v="Mobile Transfer"/>
    <s v="DP3F592"/>
    <n v="103392"/>
  </r>
  <r>
    <s v="May"/>
    <d v="2022-05-04T00:00:00"/>
    <s v="DP3G323"/>
    <x v="18"/>
    <s v="Hpanovsky@ymail.com"/>
    <s v="Male"/>
    <s v="PVC2023182"/>
    <s v="Standard"/>
    <n v="59"/>
    <s v="SENIOR CITIZEN"/>
    <s v="ACCESS BANK"/>
    <s v="Partner Agent"/>
    <s v="DP2H108"/>
    <n v="6287"/>
  </r>
  <r>
    <s v="May"/>
    <d v="2022-05-05T00:00:00"/>
    <s v="DP2M140"/>
    <x v="11"/>
    <s v="Iselhorst@coriftech.com"/>
    <s v="Female"/>
    <s v="PVC2023144"/>
    <s v="Premium"/>
    <n v="54"/>
    <s v="SENIOR CITIZEN"/>
    <s v="UNION BANK"/>
    <s v="Mobile Transfer"/>
    <s v="DP3F484"/>
    <n v="17566"/>
  </r>
  <r>
    <s v="May"/>
    <d v="2022-05-05T00:00:00"/>
    <s v="DP2F133"/>
    <x v="80"/>
    <s v="Kbush@coriftech.com"/>
    <s v="Female"/>
    <s v="PVC2023180"/>
    <s v="Standard"/>
    <n v="48"/>
    <s v="SENIOR CITIZEN"/>
    <s v="FIDELITY BANK"/>
    <s v="Over The Counter"/>
    <s v="DP3O385"/>
    <n v="179775"/>
  </r>
  <r>
    <s v="May"/>
    <d v="2022-05-07T00:00:00"/>
    <s v="DP3C508"/>
    <x v="81"/>
    <s v="Lcarter@coriftech.com"/>
    <s v="Female"/>
    <s v="PVC2023101"/>
    <s v="Standard"/>
    <n v="26"/>
    <s v="ADULT"/>
    <s v="GTBANK PLC"/>
    <s v="Over The Counter"/>
    <s v="DP2Z259"/>
    <n v="89447"/>
  </r>
  <r>
    <s v="May"/>
    <d v="2022-05-07T00:00:00"/>
    <s v="DP2L301"/>
    <x v="15"/>
    <s v="Bmiller@gmail.com"/>
    <s v="Male"/>
    <s v="PVC2023118"/>
    <s v="Premium"/>
    <n v="36"/>
    <s v="ADULT"/>
    <s v="UNION BANK"/>
    <s v="Online Banking"/>
    <s v="DP3R334"/>
    <n v="117207"/>
  </r>
  <r>
    <s v="May"/>
    <d v="2022-05-08T00:00:00"/>
    <s v="DP3H459"/>
    <x v="51"/>
    <s v="Asolis@ymail.com"/>
    <s v="Female"/>
    <s v="PVC2023124"/>
    <s v="Standard"/>
    <n v="29"/>
    <s v="ADULT"/>
    <s v="FIRST BANK"/>
    <s v="Partner Agent"/>
    <s v="DP3E402"/>
    <n v="44242"/>
  </r>
  <r>
    <s v="May"/>
    <d v="2022-05-08T00:00:00"/>
    <s v="DP3R442"/>
    <x v="55"/>
    <s v="Csmith@ymail.com"/>
    <s v="Male"/>
    <s v="PVC2023183"/>
    <s v="Standard"/>
    <n v="72"/>
    <s v="OLD CITIZEN"/>
    <s v="WEMA BANK"/>
    <s v="Over The Counter"/>
    <s v="DP2Z124"/>
    <n v="63219"/>
  </r>
  <r>
    <s v="May"/>
    <d v="2022-05-09T00:00:00"/>
    <s v="DP2C292"/>
    <x v="10"/>
    <s v="Bjuarez@coriftech.com"/>
    <s v="Male"/>
    <s v="PVC2023173"/>
    <s v="Gold"/>
    <n v="71"/>
    <s v="OLD CITIZEN"/>
    <s v="STANDARD CHARTERED"/>
    <s v="Partner Agent"/>
    <s v="DP2R118"/>
    <n v="178243"/>
  </r>
  <r>
    <s v="May"/>
    <d v="2022-05-09T00:00:00"/>
    <s v="DP3Q468"/>
    <x v="18"/>
    <s v="Hpanovsky@ymail.com"/>
    <s v="Male"/>
    <s v="PVC2023182"/>
    <s v="Standard"/>
    <n v="59"/>
    <s v="SENIOR CITIZEN"/>
    <s v="FIRST BANK"/>
    <s v="USSD"/>
    <s v="DP2O250"/>
    <n v="36825"/>
  </r>
  <r>
    <s v="May"/>
    <d v="2022-05-10T00:00:00"/>
    <s v="DP3L463"/>
    <x v="66"/>
    <s v="Ocanini@coriftech.com"/>
    <s v="Female"/>
    <s v="PVC2023106"/>
    <s v="Gold"/>
    <n v="45"/>
    <s v="SENIOR CITIZEN"/>
    <s v="ACCESS BANK"/>
    <s v="Mobile Transfer"/>
    <s v="DP2X206"/>
    <n v="93595"/>
  </r>
  <r>
    <s v="May"/>
    <d v="2022-05-10T00:00:00"/>
    <s v="DP3Z343"/>
    <x v="44"/>
    <s v="Lbarnett@gmail.com"/>
    <s v="Male"/>
    <s v="PVC2023103"/>
    <s v="Standard"/>
    <n v="39"/>
    <s v="ADULT"/>
    <s v="FIRST BANK"/>
    <s v="Mobile Transfer"/>
    <s v="DP3O358"/>
    <n v="74537"/>
  </r>
  <r>
    <s v="May"/>
    <d v="2022-05-10T00:00:00"/>
    <s v="DP2U283"/>
    <x v="18"/>
    <s v="Hpanovsky@ymail.com"/>
    <s v="Male"/>
    <s v="PVC2023182"/>
    <s v="Standard"/>
    <n v="59"/>
    <s v="SENIOR CITIZEN"/>
    <s v="WEMA BANK"/>
    <s v="Mobile Transfer"/>
    <s v="DP3H432"/>
    <n v="39515"/>
  </r>
  <r>
    <s v="May"/>
    <d v="2022-05-11T00:00:00"/>
    <s v="DP3D509"/>
    <x v="42"/>
    <s v="Aweaver@ymail.com"/>
    <s v="Male"/>
    <s v="PVC2023105"/>
    <s v="Gold"/>
    <n v="39"/>
    <s v="ADULT"/>
    <s v="FIDELITY BANK"/>
    <s v="Partner Agent"/>
    <s v="DP3Q576"/>
    <n v="100451"/>
  </r>
  <r>
    <s v="May"/>
    <d v="2022-05-11T00:00:00"/>
    <s v="DP3G566"/>
    <x v="20"/>
    <s v="Tperkins@coriftech.com"/>
    <s v="Female"/>
    <s v="PVC2023176"/>
    <s v="Standard"/>
    <n v="73"/>
    <s v="OLD CITIZEN"/>
    <s v="STANBIC IBTC BANK"/>
    <s v="USSD"/>
    <s v="DP2E213"/>
    <n v="140178"/>
  </r>
  <r>
    <s v="May"/>
    <d v="2022-05-12T00:00:00"/>
    <s v="DP2G134"/>
    <x v="82"/>
    <s v="Sthomas@coriftech.com"/>
    <s v="Male"/>
    <s v="PVC2023177"/>
    <s v="Standard"/>
    <n v="28"/>
    <s v="ADULT"/>
    <s v="UNION BANK"/>
    <s v="Mobile Transfer"/>
    <s v="DP3V527"/>
    <n v="125429"/>
  </r>
  <r>
    <s v="May"/>
    <d v="2022-05-13T00:00:00"/>
    <s v="DP3F430"/>
    <x v="83"/>
    <s v="Eadams@gmail.com"/>
    <s v="Female"/>
    <s v="PVC2023161"/>
    <s v="Premium"/>
    <n v="75"/>
    <s v="OLD CITIZEN"/>
    <s v="STANDARD CHARTERED"/>
    <s v="USSD"/>
    <s v="DP3G512"/>
    <n v="181055"/>
  </r>
  <r>
    <s v="May"/>
    <d v="2022-05-13T00:00:00"/>
    <s v="DP2W258"/>
    <x v="34"/>
    <s v="Padams@coriftech.com"/>
    <s v="Male"/>
    <s v="PVC2023126"/>
    <s v="Standard"/>
    <n v="64"/>
    <s v="OLD CITIZEN"/>
    <s v="FIDELITY BANK"/>
    <s v="USSD"/>
    <s v="DP2M302"/>
    <n v="90011"/>
  </r>
  <r>
    <s v="May"/>
    <d v="2022-05-14T00:00:00"/>
    <s v="DP2O277"/>
    <x v="56"/>
    <s v="Aezichi@coriftech.com"/>
    <s v="Male"/>
    <s v="PVC2023131"/>
    <s v="Standard"/>
    <n v="40"/>
    <s v="ADULT"/>
    <s v="FIDELITY BANK"/>
    <s v="USSD"/>
    <s v="DP2P197"/>
    <n v="68010"/>
  </r>
  <r>
    <s v="May"/>
    <d v="2022-05-14T00:00:00"/>
    <s v="DP3A506"/>
    <x v="49"/>
    <s v="Aperkins@coriftech.com"/>
    <s v="Female"/>
    <s v="PVC2023135"/>
    <s v="Standard"/>
    <n v="23"/>
    <s v="ADULT"/>
    <s v="GTBANK PLC"/>
    <s v="Partner Agent"/>
    <s v="DP2W204"/>
    <n v="178773"/>
  </r>
  <r>
    <s v="May"/>
    <d v="2022-05-15T00:00:00"/>
    <s v="DP3X557"/>
    <x v="70"/>
    <s v="Jellis@gmail.com"/>
    <s v="Male"/>
    <s v="PVC2023197"/>
    <s v="Premium"/>
    <n v="29"/>
    <s v="ADULT"/>
    <s v="FIDELITY BANK"/>
    <s v="Online Banking"/>
    <s v="DP3U391"/>
    <n v="68623"/>
  </r>
  <r>
    <s v="May"/>
    <d v="2022-05-17T00:00:00"/>
    <s v="DP3X395"/>
    <x v="80"/>
    <s v="Kbush@coriftech.com"/>
    <s v="Female"/>
    <s v="PVC2023180"/>
    <s v="Standard"/>
    <n v="48"/>
    <s v="SENIOR CITIZEN"/>
    <s v="ZENITH BANK"/>
    <s v="Mobile Transfer"/>
    <s v="DP3O601"/>
    <n v="153888"/>
  </r>
  <r>
    <s v="May"/>
    <d v="2022-05-17T00:00:00"/>
    <s v="DP2I136"/>
    <x v="68"/>
    <s v="Tdennis@gmail.com"/>
    <s v="Male"/>
    <s v="PVC2023133"/>
    <s v="Premium"/>
    <n v="37"/>
    <s v="ADULT"/>
    <s v="WEMA BANK"/>
    <s v="Online Banking"/>
    <s v="DP3I460"/>
    <n v="139431"/>
  </r>
  <r>
    <s v="May"/>
    <d v="2022-05-18T00:00:00"/>
    <s v="DP3P332"/>
    <x v="24"/>
    <s v="Afitzpatrick@gmail.com"/>
    <s v="Male"/>
    <s v="PVC2023148"/>
    <s v="Standard"/>
    <n v="59"/>
    <s v="SENIOR CITIZEN"/>
    <s v="ACCESS BANK"/>
    <s v="Partner Agent"/>
    <s v="DP2W123"/>
    <n v="161776"/>
  </r>
  <r>
    <s v="May"/>
    <d v="2022-05-18T00:00:00"/>
    <s v="DP2L166"/>
    <x v="16"/>
    <s v="Lkey@coriftech.com"/>
    <s v="Female"/>
    <s v="PVC2023130"/>
    <s v="Premium"/>
    <n v="31"/>
    <s v="ADULT"/>
    <s v="WEMA BANK"/>
    <s v="Over The Counter"/>
    <s v="DP2Z178"/>
    <n v="137611"/>
  </r>
  <r>
    <s v="May"/>
    <d v="2022-05-19T00:00:00"/>
    <s v="DP3G458"/>
    <x v="63"/>
    <s v="Nhicks@gmail.com"/>
    <s v="Male"/>
    <s v="PVC2023112"/>
    <s v="Gold"/>
    <n v="76"/>
    <s v="OLD CITIZEN"/>
    <s v="ACCESS BANK"/>
    <s v="USSD"/>
    <s v="DP2Z208"/>
    <n v="111995"/>
  </r>
  <r>
    <s v="May"/>
    <d v="2022-05-20T00:00:00"/>
    <s v="DP3F376"/>
    <x v="8"/>
    <s v="Oduke@coriftech.com"/>
    <s v="Male"/>
    <s v="PVC2023108"/>
    <s v="Standard"/>
    <n v="48"/>
    <s v="SENIOR CITIZEN"/>
    <s v="FIDELITY BANK"/>
    <s v="Over The Counter"/>
    <s v="DP2A236"/>
    <n v="155128"/>
  </r>
  <r>
    <s v="May"/>
    <d v="2022-05-20T00:00:00"/>
    <s v="DP2X233"/>
    <x v="45"/>
    <s v="Gclubbs@coriftech.com"/>
    <s v="Female"/>
    <s v="PVC2023109"/>
    <s v="Premium"/>
    <n v="39"/>
    <s v="ADULT"/>
    <s v="FIDELITY BANK"/>
    <s v="Mobile Transfer"/>
    <s v="DP2B210"/>
    <n v="129591"/>
  </r>
  <r>
    <s v="May"/>
    <d v="2022-05-20T00:00:00"/>
    <s v="DP3J326"/>
    <x v="74"/>
    <s v="Tbyrd@coriftech.com"/>
    <s v="Male"/>
    <s v="PVC2023157"/>
    <s v="Gold"/>
    <n v="32"/>
    <s v="ADULT"/>
    <s v="FIRST BANK"/>
    <s v="Online Banking"/>
    <s v="DP3P575"/>
    <n v="163717"/>
  </r>
  <r>
    <s v="May"/>
    <d v="2022-05-20T00:00:00"/>
    <s v="DP2Q198"/>
    <x v="84"/>
    <s v="Ojames@coriftech.com"/>
    <s v="Male"/>
    <s v="PVC2023189"/>
    <s v="Premium"/>
    <n v="48"/>
    <s v="SENIOR CITIZEN"/>
    <s v="UNION BANK"/>
    <s v="Online Banking"/>
    <s v="DP2Q279"/>
    <n v="54170"/>
  </r>
  <r>
    <s v="May"/>
    <d v="2022-05-21T00:00:00"/>
    <s v="DP3J407"/>
    <x v="55"/>
    <s v="Csmith@ymail.com"/>
    <s v="Male"/>
    <s v="PVC2023183"/>
    <s v="Standard"/>
    <n v="72"/>
    <s v="OLD CITIZEN"/>
    <s v="ZENITH BANK"/>
    <s v="Partner Agent"/>
    <s v="DP3C319"/>
    <n v="71581"/>
  </r>
  <r>
    <s v="May"/>
    <d v="2022-05-22T00:00:00"/>
    <s v="DP3X503"/>
    <x v="38"/>
    <s v="Atillman@ymail.com"/>
    <s v="Male"/>
    <s v="PVC2023119"/>
    <s v="Gold"/>
    <n v="63"/>
    <s v="OLD CITIZEN"/>
    <s v="UNITED BANK FOR AFRICA"/>
    <s v="Online Banking"/>
    <s v="DP2K246"/>
    <n v="62835"/>
  </r>
  <r>
    <s v="May"/>
    <d v="2022-05-23T00:00:00"/>
    <s v="DP2P143"/>
    <x v="73"/>
    <s v="Fmerritt@gmail.com"/>
    <s v="Female"/>
    <s v="PVC2023193"/>
    <s v="Standard"/>
    <n v="66"/>
    <s v="OLD CITIZEN"/>
    <s v="FIDELITY BANK"/>
    <s v="Over The Counter"/>
    <s v="DP3Q495"/>
    <n v="112725"/>
  </r>
  <r>
    <s v="May"/>
    <d v="2022-05-24T00:00:00"/>
    <s v="DP2U229"/>
    <x v="23"/>
    <s v="Bandrea@coriftech.com"/>
    <s v="Female"/>
    <s v="PVC2023117"/>
    <s v="Gold"/>
    <n v="19"/>
    <s v="TEEN"/>
    <s v="ACCESS BANK"/>
    <s v="Online Banking"/>
    <s v="DP3X314"/>
    <n v="138221"/>
  </r>
  <r>
    <s v="May"/>
    <d v="2022-05-26T00:00:00"/>
    <s v="DP3G431"/>
    <x v="32"/>
    <s v="Mselhorst@gmail.com"/>
    <s v="Female"/>
    <s v="PVC2023115"/>
    <s v="Premium"/>
    <n v="68"/>
    <s v="OLD CITIZEN"/>
    <s v="UNITED BANK FOR AFRICA"/>
    <s v="USSD"/>
    <s v="DP2T255"/>
    <n v="36354"/>
  </r>
  <r>
    <s v="May"/>
    <d v="2022-05-26T00:00:00"/>
    <s v="DP3I460"/>
    <x v="84"/>
    <s v="Ojames@coriftech.com"/>
    <s v="Male"/>
    <s v="PVC2023189"/>
    <s v="Premium"/>
    <n v="48"/>
    <s v="SENIOR CITIZEN"/>
    <s v="UNITED BANK FOR AFRICA"/>
    <s v="USSD"/>
    <s v="DP3Z424"/>
    <n v="81396"/>
  </r>
  <r>
    <s v="May"/>
    <d v="2022-05-27T00:00:00"/>
    <s v="DP3W366"/>
    <x v="82"/>
    <s v="Sthomas@coriftech.com"/>
    <s v="Male"/>
    <s v="PVC2023177"/>
    <s v="Standard"/>
    <n v="28"/>
    <s v="ADULT"/>
    <s v="STANBIC IBTC BANK"/>
    <s v="Online Banking"/>
    <s v="DP2I163"/>
    <n v="80910"/>
  </r>
  <r>
    <s v="May"/>
    <d v="2022-05-27T00:00:00"/>
    <s v="DP3O520"/>
    <x v="85"/>
    <s v="Rjones@gmail.com"/>
    <s v="Female"/>
    <s v="PVC2023140"/>
    <s v="Standard"/>
    <n v="51"/>
    <s v="SENIOR CITIZEN"/>
    <s v="STANBIC IBTC BANK"/>
    <s v="Over The Counter"/>
    <s v="DP3P467"/>
    <n v="58316"/>
  </r>
  <r>
    <s v="May"/>
    <d v="2022-05-27T00:00:00"/>
    <s v="DP3J515"/>
    <x v="86"/>
    <s v="Awise@coriftech.com"/>
    <s v="Male"/>
    <s v="PVC2023174"/>
    <s v="Standard"/>
    <n v="64"/>
    <s v="OLD CITIZEN"/>
    <s v="WEMA BANK"/>
    <s v="Over The Counter"/>
    <s v="DP3C454"/>
    <n v="145696"/>
  </r>
  <r>
    <s v="May"/>
    <d v="2022-05-28T00:00:00"/>
    <s v="DP3I568"/>
    <x v="2"/>
    <s v="Oweber@ymail.com"/>
    <s v="Female"/>
    <s v="PVC2023196"/>
    <s v="Gold"/>
    <n v="59"/>
    <s v="SENIOR CITIZEN"/>
    <s v="ACCESS BANK"/>
    <s v="Partner Agent"/>
    <s v="DP3N546"/>
    <n v="15860"/>
  </r>
  <r>
    <s v="May"/>
    <d v="2022-05-28T00:00:00"/>
    <s v="DP3F403"/>
    <x v="20"/>
    <s v="Tperkins@coriftech.com"/>
    <s v="Female"/>
    <s v="PVC2023176"/>
    <s v="Standard"/>
    <n v="73"/>
    <s v="OLD CITIZEN"/>
    <s v="UNION BANK"/>
    <s v="Online Banking"/>
    <s v="DP3A587"/>
    <n v="158328"/>
  </r>
  <r>
    <s v="May"/>
    <d v="2022-05-29T00:00:00"/>
    <s v="DP3J434"/>
    <x v="16"/>
    <s v="Lkey@coriftech.com"/>
    <s v="Female"/>
    <s v="PVC2023130"/>
    <s v="Premium"/>
    <n v="31"/>
    <s v="ADULT"/>
    <s v="STANDARD CHARTERED"/>
    <s v="USSD"/>
    <s v="DP3Q441"/>
    <n v="158925"/>
  </r>
  <r>
    <s v="May"/>
    <d v="2022-05-30T00:00:00"/>
    <s v="DP3B480"/>
    <x v="87"/>
    <s v="Emercer@ymail.com"/>
    <s v="Female"/>
    <s v="PVC2023159"/>
    <s v="Standard"/>
    <n v="24"/>
    <s v="ADULT"/>
    <s v="STANDARD CHARTERED"/>
    <s v="Over The Counter"/>
    <s v="DP2C265"/>
    <n v="114250"/>
  </r>
  <r>
    <s v="May"/>
    <d v="2022-05-30T00:00:00"/>
    <s v="DP3S335"/>
    <x v="85"/>
    <s v="Rjones@gmail.com"/>
    <s v="Female"/>
    <s v="PVC2023140"/>
    <s v="Standard"/>
    <n v="51"/>
    <s v="SENIOR CITIZEN"/>
    <s v="UNITED BANK FOR AFRICA"/>
    <s v="Online Banking"/>
    <s v="DP2F133"/>
    <n v="109388"/>
  </r>
  <r>
    <s v="May"/>
    <d v="2022-05-30T00:00:00"/>
    <s v="DP3E375"/>
    <x v="9"/>
    <s v="Omcclure@gmail.com"/>
    <s v="Male"/>
    <s v="PVC2023154"/>
    <s v="Standard"/>
    <n v="60"/>
    <s v="SENIOR CITIZEN"/>
    <s v="UNITED BANK FOR AFRICA"/>
    <s v="Online Banking"/>
    <s v="DP3B399"/>
    <n v="173163"/>
  </r>
  <r>
    <s v="May"/>
    <d v="2022-05-31T00:00:00"/>
    <s v="DP2N303"/>
    <x v="88"/>
    <s v="Dspencer@coriftech.com"/>
    <s v="Male"/>
    <s v="PVC2023123"/>
    <s v="Standard"/>
    <n v="59"/>
    <s v="SENIOR CITIZEN"/>
    <s v="UNION BANK"/>
    <s v="Online Banking"/>
    <s v="DP3I487"/>
    <n v="111217"/>
  </r>
  <r>
    <s v="May"/>
    <d v="2022-05-31T00:00:00"/>
    <s v="DP3K489"/>
    <x v="11"/>
    <s v="Iselhorst@coriftech.com"/>
    <s v="Female"/>
    <s v="PVC2023144"/>
    <s v="Premium"/>
    <n v="54"/>
    <s v="SENIOR CITIZEN"/>
    <s v="UNION BANK"/>
    <s v="Partner Agent"/>
    <s v="DP2U283"/>
    <n v="146076"/>
  </r>
  <r>
    <s v="May"/>
    <d v="2022-05-31T00:00:00"/>
    <s v="DP2S281"/>
    <x v="38"/>
    <s v="Atillman@ymail.com"/>
    <s v="Male"/>
    <s v="PVC2023119"/>
    <s v="Gold"/>
    <n v="63"/>
    <s v="OLD CITIZEN"/>
    <s v="STANBIC IBTC BANK"/>
    <s v="USSD"/>
    <s v="DP3Y450"/>
    <n v="9459"/>
  </r>
  <r>
    <s v="June"/>
    <d v="2022-06-01T00:00:00"/>
    <s v="DP2W285"/>
    <x v="79"/>
    <s v="Amcconnell@coriftech.com"/>
    <s v="Female"/>
    <s v="PVC2023168"/>
    <s v="Standard"/>
    <n v="32"/>
    <s v="ADULT"/>
    <s v="STANDARD CHARTERED"/>
    <s v="Over The Counter"/>
    <s v="DP2L301"/>
    <n v="7298"/>
  </r>
  <r>
    <s v="June"/>
    <d v="2022-06-01T00:00:00"/>
    <s v="DP3D536"/>
    <x v="55"/>
    <s v="Csmith@ymail.com"/>
    <s v="Male"/>
    <s v="PVC2023183"/>
    <s v="Standard"/>
    <n v="72"/>
    <s v="OLD CITIZEN"/>
    <s v="STANBIC IBTC BANK"/>
    <s v="Partner Agent"/>
    <s v="DP3U445"/>
    <n v="68008"/>
  </r>
  <r>
    <s v="June"/>
    <d v="2022-06-01T00:00:00"/>
    <s v="DP2K165"/>
    <x v="26"/>
    <s v="Cmiller@gmail.com"/>
    <s v="Female"/>
    <s v="PVC2023138"/>
    <s v="Premium"/>
    <n v="66"/>
    <s v="OLD CITIZEN"/>
    <s v="FIRST BANK"/>
    <s v="Partner Agent"/>
    <s v="DP2Y153"/>
    <n v="136863"/>
  </r>
  <r>
    <s v="June"/>
    <d v="2022-06-02T00:00:00"/>
    <s v="DP3Z340"/>
    <x v="7"/>
    <s v="Bbest@gmail.com"/>
    <s v="Female"/>
    <s v="PVC2023125"/>
    <s v="Premium"/>
    <n v="28"/>
    <s v="ADULT"/>
    <s v="ZENITH BANK"/>
    <s v="USSD"/>
    <s v="DP2T147"/>
    <n v="72549"/>
  </r>
  <r>
    <s v="June"/>
    <d v="2022-06-02T00:00:00"/>
    <s v="DP3L517"/>
    <x v="40"/>
    <s v="Ohumphrey@ymail.com"/>
    <s v="Male"/>
    <s v="PVC2023170"/>
    <s v="Standard"/>
    <n v="60"/>
    <s v="SENIOR CITIZEN"/>
    <s v="FIRST BANK"/>
    <s v="USSD"/>
    <s v="DP3Y477"/>
    <n v="111465"/>
  </r>
  <r>
    <s v="June"/>
    <d v="2022-06-02T00:00:00"/>
    <s v="DP2C157"/>
    <x v="83"/>
    <s v="Eadams@gmail.com"/>
    <s v="Female"/>
    <s v="PVC2023161"/>
    <s v="Premium"/>
    <n v="75"/>
    <s v="OLD CITIZEN"/>
    <s v="UNION BANK"/>
    <s v="Mobile Transfer"/>
    <s v="DP3Z397"/>
    <n v="177125"/>
  </r>
  <r>
    <s v="June"/>
    <d v="2022-06-03T00:00:00"/>
    <s v="DP3W447"/>
    <x v="12"/>
    <s v="Epanovsky@gmail.com"/>
    <s v="Female"/>
    <s v="PVC2023198"/>
    <s v="Gold"/>
    <n v="19"/>
    <s v="TEEN"/>
    <s v="ZENITH BANK"/>
    <s v="Partner Agent"/>
    <s v="DP3X584"/>
    <n v="182297"/>
  </r>
  <r>
    <s v="June"/>
    <d v="2022-06-05T00:00:00"/>
    <s v="DP3A398"/>
    <x v="58"/>
    <s v="Nmack@gmail.com"/>
    <s v="Male"/>
    <s v="PVC2023139"/>
    <s v="Gold"/>
    <n v="64"/>
    <s v="OLD CITIZEN"/>
    <s v="UNION BANK"/>
    <s v="Online Banking"/>
    <s v="DP3S551"/>
    <n v="126731"/>
  </r>
  <r>
    <s v="June"/>
    <d v="2022-06-06T00:00:00"/>
    <s v="DP2N249"/>
    <x v="89"/>
    <s v="Orod@coriftech.com"/>
    <s v="Female"/>
    <s v="PVC2023192"/>
    <s v="Standard"/>
    <n v="21"/>
    <s v="ADULT"/>
    <s v="FIRST BANK"/>
    <s v="Over The Counter"/>
    <s v="DP3Z529"/>
    <n v="150693"/>
  </r>
  <r>
    <s v="June"/>
    <d v="2022-06-07T00:00:00"/>
    <s v="DP3T606"/>
    <x v="12"/>
    <s v="Epanovsky@gmail.com"/>
    <s v="Female"/>
    <s v="PVC2023198"/>
    <s v="Gold"/>
    <n v="19"/>
    <s v="TEEN"/>
    <s v="UNITED BANK FOR AFRICA"/>
    <s v="Online Banking"/>
    <s v="DP2L274"/>
    <n v="54960"/>
  </r>
  <r>
    <s v="June"/>
    <d v="2022-06-07T00:00:00"/>
    <s v="DP2D212"/>
    <x v="8"/>
    <s v="Oduke@coriftech.com"/>
    <s v="Male"/>
    <s v="PVC2023108"/>
    <s v="Standard"/>
    <n v="48"/>
    <s v="SENIOR CITIZEN"/>
    <s v="STANBIC IBTC BANK"/>
    <s v="USSD"/>
    <s v="DP2P116"/>
    <n v="47186"/>
  </r>
  <r>
    <s v="June"/>
    <d v="2022-06-08T00:00:00"/>
    <s v="DP3X530"/>
    <x v="74"/>
    <s v="Tbyrd@coriftech.com"/>
    <s v="Male"/>
    <s v="PVC2023157"/>
    <s v="Gold"/>
    <n v="32"/>
    <s v="ADULT"/>
    <s v="UNITED BANK FOR AFRICA"/>
    <s v="Online Banking"/>
    <s v="DP3R523"/>
    <n v="26122"/>
  </r>
  <r>
    <s v="June"/>
    <d v="2022-06-09T00:00:00"/>
    <s v="DP3W420"/>
    <x v="66"/>
    <s v="Ocanini@coriftech.com"/>
    <s v="Female"/>
    <s v="PVC2023106"/>
    <s v="Gold"/>
    <n v="45"/>
    <s v="SENIOR CITIZEN"/>
    <s v="STANBIC IBTC BANK"/>
    <s v="USSD"/>
    <s v="DP2Q198"/>
    <n v="162460"/>
  </r>
  <r>
    <s v="June"/>
    <d v="2022-06-10T00:00:00"/>
    <s v="DP3F484"/>
    <x v="37"/>
    <s v="Oselhorst@gmail.com"/>
    <s v="Female"/>
    <s v="PVC2023178"/>
    <s v="Standard"/>
    <n v="66"/>
    <s v="OLD CITIZEN"/>
    <s v="ZENITH BANK"/>
    <s v="Online Banking"/>
    <s v="DP3Z586"/>
    <n v="145620"/>
  </r>
  <r>
    <s v="June"/>
    <d v="2022-06-10T00:00:00"/>
    <s v="DP2M275"/>
    <x v="36"/>
    <s v="Amacdonald@gmail.com"/>
    <s v="Male"/>
    <s v="PVC2023150"/>
    <s v="Gold"/>
    <n v="29"/>
    <s v="ADULT"/>
    <s v="ACCESS BANK"/>
    <s v="Over The Counter"/>
    <s v="DP3I541"/>
    <n v="66902"/>
  </r>
  <r>
    <s v="June"/>
    <d v="2022-06-10T00:00:00"/>
    <s v="DP3E510"/>
    <x v="57"/>
    <s v="Avang@coriftech.com"/>
    <s v="Male"/>
    <s v="PVC2023199"/>
    <s v="Standard"/>
    <n v="44"/>
    <s v="SENIOR CITIZEN"/>
    <s v="GTBANK PLC"/>
    <s v="Over The Counter"/>
    <s v="DP2O304"/>
    <n v="161295"/>
  </r>
  <r>
    <s v="June"/>
    <d v="2022-06-12T00:00:00"/>
    <s v="DP2Q144"/>
    <x v="1"/>
    <s v="Rmitchell@gmail.com"/>
    <s v="Female"/>
    <s v="PVC2023141"/>
    <s v="Premium"/>
    <n v="72"/>
    <s v="OLD CITIZEN"/>
    <s v="UNION BANK"/>
    <s v="Partner Agent"/>
    <s v="DP3Q549"/>
    <n v="34306"/>
  </r>
  <r>
    <s v="June"/>
    <d v="2022-06-12T00:00:00"/>
    <s v="DP3G512"/>
    <x v="52"/>
    <s v="Kjimenez@ymail.com"/>
    <s v="Female"/>
    <s v="PVC2023165"/>
    <s v="Standard"/>
    <n v="35"/>
    <s v="ADULT"/>
    <s v="WEMA BANK"/>
    <s v="Online Banking"/>
    <s v="DP2M221"/>
    <n v="110194"/>
  </r>
  <r>
    <s v="June"/>
    <d v="2022-06-12T00:00:00"/>
    <s v="DP2K138"/>
    <x v="15"/>
    <s v="Bmiller@gmail.com"/>
    <s v="Male"/>
    <s v="PVC2023118"/>
    <s v="Premium"/>
    <n v="36"/>
    <s v="ADULT"/>
    <s v="STANDARD CHARTERED"/>
    <s v="Mobile Transfer"/>
    <s v="DP2B183"/>
    <n v="77667"/>
  </r>
  <r>
    <s v="June"/>
    <d v="2022-06-13T00:00:00"/>
    <s v="DP3U472"/>
    <x v="55"/>
    <s v="Csmith@ymail.com"/>
    <s v="Male"/>
    <s v="PVC2023183"/>
    <s v="Standard"/>
    <n v="72"/>
    <s v="OLD CITIZEN"/>
    <s v="FIRST BANK"/>
    <s v="USSD"/>
    <s v="DP3D428"/>
    <n v="35531"/>
  </r>
  <r>
    <s v="June"/>
    <d v="2022-06-13T00:00:00"/>
    <s v="DP3H486"/>
    <x v="3"/>
    <s v="Balexander@ymail.com"/>
    <s v="Male"/>
    <s v="PVC2023113"/>
    <s v="Premium"/>
    <n v="61"/>
    <s v="OLD CITIZEN"/>
    <s v="UNITED BANK FOR AFRICA"/>
    <s v="Partner Agent"/>
    <s v="DP3K462"/>
    <n v="98026"/>
  </r>
  <r>
    <s v="June"/>
    <d v="2022-06-14T00:00:00"/>
    <s v="DP2N141"/>
    <x v="51"/>
    <s v="Asolis@ymail.com"/>
    <s v="Female"/>
    <s v="PVC2023124"/>
    <s v="Standard"/>
    <n v="29"/>
    <s v="ADULT"/>
    <s v="WEMA BANK"/>
    <s v="Mobile Transfer"/>
    <s v="DP2B129"/>
    <n v="74810"/>
  </r>
  <r>
    <s v="June"/>
    <d v="2022-06-15T00:00:00"/>
    <s v="DP2X152"/>
    <x v="22"/>
    <s v="Tabbott@coriftech.com"/>
    <s v="Male"/>
    <s v="PVC2023116"/>
    <s v="Standard"/>
    <n v="67"/>
    <s v="OLD CITIZEN"/>
    <s v="FIDELITY BANK"/>
    <s v="USSD"/>
    <s v="DP3Y585"/>
    <n v="95076"/>
  </r>
  <r>
    <s v="June"/>
    <d v="2022-06-16T00:00:00"/>
    <s v="DP3Z529"/>
    <x v="90"/>
    <s v="Imatt@gmail.com"/>
    <s v="Male"/>
    <s v="PVC2023158"/>
    <s v="Gold"/>
    <n v="74"/>
    <s v="OLD CITIZEN"/>
    <s v="ACCESS BANK"/>
    <s v="USSD"/>
    <s v="DP3C346"/>
    <n v="160115"/>
  </r>
  <r>
    <s v="June"/>
    <d v="2022-06-18T00:00:00"/>
    <s v="DP3B561"/>
    <x v="83"/>
    <s v="Eadams@gmail.com"/>
    <s v="Female"/>
    <s v="PVC2023161"/>
    <s v="Premium"/>
    <n v="75"/>
    <s v="OLD CITIZEN"/>
    <s v="WEMA BANK"/>
    <s v="Partner Agent"/>
    <s v="DP3Z313"/>
    <n v="157990"/>
  </r>
  <r>
    <s v="June"/>
    <d v="2022-06-19T00:00:00"/>
    <s v="DP3G485"/>
    <x v="80"/>
    <s v="Kbush@coriftech.com"/>
    <s v="Female"/>
    <s v="PVC2023180"/>
    <s v="Standard"/>
    <n v="48"/>
    <s v="SENIOR CITIZEN"/>
    <s v="FIDELITY BANK"/>
    <s v="Mobile Transfer"/>
    <s v="DP3E591"/>
    <n v="109269"/>
  </r>
  <r>
    <s v="June"/>
    <d v="2022-06-19T00:00:00"/>
    <s v="DP2W204"/>
    <x v="89"/>
    <s v="Orod@coriftech.com"/>
    <s v="Female"/>
    <s v="PVC2023192"/>
    <s v="Standard"/>
    <n v="21"/>
    <s v="ADULT"/>
    <s v="STANBIC IBTC BANK"/>
    <s v="USSD"/>
    <s v="DP3F349"/>
    <n v="163068"/>
  </r>
  <r>
    <s v="June"/>
    <d v="2022-06-23T00:00:00"/>
    <s v="DP2F268"/>
    <x v="23"/>
    <s v="Bandrea@coriftech.com"/>
    <s v="Female"/>
    <s v="PVC2023117"/>
    <s v="Gold"/>
    <n v="19"/>
    <s v="TEEN"/>
    <s v="STANBIC IBTC BANK"/>
    <s v="Partner Agent"/>
    <s v="DP2A155"/>
    <n v="150610"/>
  </r>
  <r>
    <s v="June"/>
    <d v="2022-06-23T00:00:00"/>
    <s v="DP2G188"/>
    <x v="10"/>
    <s v="Bjuarez@coriftech.com"/>
    <s v="Male"/>
    <s v="PVC2023173"/>
    <s v="Gold"/>
    <n v="71"/>
    <s v="OLD CITIZEN"/>
    <s v="UNION BANK"/>
    <s v="Partner Agent"/>
    <s v="DP3B318"/>
    <n v="187565"/>
  </r>
  <r>
    <s v="June"/>
    <d v="2022-06-23T00:00:00"/>
    <s v="DP3I406"/>
    <x v="2"/>
    <s v="Oweber@ymail.com"/>
    <s v="Female"/>
    <s v="PVC2023196"/>
    <s v="Gold"/>
    <n v="59"/>
    <s v="SENIOR CITIZEN"/>
    <s v="ZENITH BANK"/>
    <s v="Mobile Transfer"/>
    <s v="DP2O196"/>
    <n v="11437"/>
  </r>
  <r>
    <s v="June"/>
    <d v="2022-06-24T00:00:00"/>
    <s v="DP3E402"/>
    <x v="91"/>
    <s v="Tdouglas@gmail.com"/>
    <s v="Female"/>
    <s v="PVC2023160"/>
    <s v="Standard"/>
    <n v="50"/>
    <s v="SENIOR CITIZEN"/>
    <s v="ACCESS BANK"/>
    <s v="Partner Agent"/>
    <s v="DP3V338"/>
    <n v="21897"/>
  </r>
  <r>
    <s v="June"/>
    <d v="2022-06-24T00:00:00"/>
    <s v="DP2Z124"/>
    <x v="55"/>
    <s v="Csmith@ymail.com"/>
    <s v="Male"/>
    <s v="PVC2023183"/>
    <s v="Standard"/>
    <n v="72"/>
    <s v="OLD CITIZEN"/>
    <s v="UNION BANK"/>
    <s v="Online Banking"/>
    <s v="DP2D293"/>
    <n v="52938"/>
  </r>
  <r>
    <s v="June"/>
    <d v="2022-06-25T00:00:00"/>
    <s v="DP3O439"/>
    <x v="26"/>
    <s v="Cmiller@gmail.com"/>
    <s v="Female"/>
    <s v="PVC2023138"/>
    <s v="Premium"/>
    <n v="66"/>
    <s v="OLD CITIZEN"/>
    <s v="STANBIC IBTC BANK"/>
    <s v="Partner Agent"/>
    <s v="DP2V230"/>
    <n v="59272"/>
  </r>
  <r>
    <s v="June"/>
    <d v="2022-06-25T00:00:00"/>
    <s v="DP3Q549"/>
    <x v="89"/>
    <s v="Orod@coriftech.com"/>
    <s v="Female"/>
    <s v="PVC2023192"/>
    <s v="Standard"/>
    <n v="21"/>
    <s v="ADULT"/>
    <s v="ZENITH BANK"/>
    <s v="USSD"/>
    <s v="DP2Z289"/>
    <n v="153282"/>
  </r>
  <r>
    <s v="June"/>
    <d v="2022-06-25T00:00:00"/>
    <s v="DP2L220"/>
    <x v="25"/>
    <s v="Achang@gmail.com"/>
    <s v="Female"/>
    <s v="PVC2023110"/>
    <s v="Premium"/>
    <n v="76"/>
    <s v="OLD CITIZEN"/>
    <s v="UNION BANK"/>
    <s v="Partner Agent"/>
    <s v="DP2G242"/>
    <n v="154439"/>
  </r>
  <r>
    <s v="June"/>
    <d v="2022-06-26T00:00:00"/>
    <s v="DP3U418"/>
    <x v="51"/>
    <s v="Asolis@ymail.com"/>
    <s v="Female"/>
    <s v="PVC2023124"/>
    <s v="Standard"/>
    <n v="29"/>
    <s v="ADULT"/>
    <s v="FIDELITY BANK"/>
    <s v="USSD"/>
    <s v="DP3F538"/>
    <n v="181490"/>
  </r>
  <r>
    <s v="June"/>
    <d v="2022-06-26T00:00:00"/>
    <s v="DP3W555"/>
    <x v="36"/>
    <s v="Amacdonald@gmail.com"/>
    <s v="Male"/>
    <s v="PVC2023150"/>
    <s v="Gold"/>
    <n v="29"/>
    <s v="ADULT"/>
    <s v="UNITED BANK FOR AFRICA"/>
    <s v="Partner Agent"/>
    <s v="DP2A290"/>
    <n v="123724"/>
  </r>
  <r>
    <s v="June"/>
    <d v="2022-06-26T00:00:00"/>
    <s v="DP2H297"/>
    <x v="51"/>
    <s v="Asolis@ymail.com"/>
    <s v="Female"/>
    <s v="PVC2023124"/>
    <s v="Standard"/>
    <n v="29"/>
    <s v="ADULT"/>
    <s v="UNITED BANK FOR AFRICA"/>
    <s v="Mobile Transfer"/>
    <s v="DP3N465"/>
    <n v="44300"/>
  </r>
  <r>
    <s v="June"/>
    <d v="2022-06-28T00:00:00"/>
    <s v="DP3V473"/>
    <x v="5"/>
    <s v="Ogilbert@gmail.com"/>
    <s v="Male"/>
    <s v="PVC2023179"/>
    <s v="Standard"/>
    <n v="22"/>
    <s v="ADULT"/>
    <s v="UNITED BANK FOR AFRICA"/>
    <s v="Partner Agent"/>
    <s v="DP2K219"/>
    <n v="174183"/>
  </r>
  <r>
    <s v="June"/>
    <d v="2022-06-28T00:00:00"/>
    <s v="DP3G539"/>
    <x v="42"/>
    <s v="Aweaver@ymail.com"/>
    <s v="Male"/>
    <s v="PVC2023105"/>
    <s v="Gold"/>
    <n v="39"/>
    <s v="ADULT"/>
    <s v="ZENITH BANK"/>
    <s v="Over The Counter"/>
    <s v="DP3S308"/>
    <n v="175594"/>
  </r>
  <r>
    <s v="June"/>
    <d v="2022-06-29T00:00:00"/>
    <s v="DP2Y153"/>
    <x v="29"/>
    <s v="Pdixon@gmail.com"/>
    <s v="Female"/>
    <s v="PVC2023152"/>
    <s v="Standard"/>
    <n v="34"/>
    <s v="ADULT"/>
    <s v="ACCESS BANK"/>
    <s v="Online Banking"/>
    <s v="DP3L436"/>
    <n v="142091"/>
  </r>
  <r>
    <s v="June"/>
    <d v="2022-06-30T00:00:00"/>
    <s v="DP3P413"/>
    <x v="92"/>
    <s v="Ayancer@coriftech.com"/>
    <s v="Female"/>
    <s v="PVC2023175"/>
    <s v="Standard"/>
    <n v="22"/>
    <s v="ADULT"/>
    <s v="UNITED BANK FOR AFRICA"/>
    <s v="Partner Agent"/>
    <s v="DP2S254"/>
    <n v="156114"/>
  </r>
  <r>
    <s v="June"/>
    <d v="2022-06-30T00:00:00"/>
    <s v="DP3W582"/>
    <x v="40"/>
    <s v="Ohumphrey@ymail.com"/>
    <s v="Male"/>
    <s v="PVC2023170"/>
    <s v="Standard"/>
    <n v="60"/>
    <s v="SENIOR CITIZEN"/>
    <s v="UNITED BANK FOR AFRICA"/>
    <s v="USSD"/>
    <s v="DP3V446"/>
    <n v="150154"/>
  </r>
  <r>
    <s v="June"/>
    <d v="2022-06-30T00:00:00"/>
    <s v="DP3C427"/>
    <x v="93"/>
    <s v="Jcallistus@gmail.com"/>
    <s v="Female"/>
    <s v="PVC2023156"/>
    <s v="Standard"/>
    <n v="36"/>
    <s v="ADULT"/>
    <s v="UNION BANK"/>
    <s v="Partner Agent"/>
    <s v="DP2P143"/>
    <n v="93872"/>
  </r>
  <r>
    <s v="July"/>
    <d v="2022-07-01T00:00:00"/>
    <s v="DP3M572"/>
    <x v="10"/>
    <s v="Bjuarez@coriftech.com"/>
    <s v="Male"/>
    <s v="PVC2023173"/>
    <s v="Gold"/>
    <n v="71"/>
    <s v="OLD CITIZEN"/>
    <s v="FIDELITY BANK"/>
    <s v="USSD"/>
    <s v="DP3W447"/>
    <n v="95721"/>
  </r>
  <r>
    <s v="July"/>
    <d v="2022-07-02T00:00:00"/>
    <s v="DP2V203"/>
    <x v="9"/>
    <s v="Omcclure@gmail.com"/>
    <s v="Male"/>
    <s v="PVC2023154"/>
    <s v="Standard"/>
    <n v="60"/>
    <s v="SENIOR CITIZEN"/>
    <s v="UNION BANK"/>
    <s v="Partner Agent"/>
    <s v="DP2N114"/>
    <n v="176738"/>
  </r>
  <r>
    <s v="July"/>
    <d v="2022-07-03T00:00:00"/>
    <s v="DP2L193"/>
    <x v="92"/>
    <s v="Ayancer@coriftech.com"/>
    <s v="Female"/>
    <s v="PVC2023175"/>
    <s v="Standard"/>
    <n v="22"/>
    <s v="ADULT"/>
    <s v="STANBIC IBTC BANK"/>
    <s v="USSD"/>
    <s v="DP2W258"/>
    <n v="128604"/>
  </r>
  <r>
    <s v="July"/>
    <d v="2022-07-04T00:00:00"/>
    <s v="DP3X449"/>
    <x v="69"/>
    <s v="Aknowles@gmail.com"/>
    <s v="Male"/>
    <s v="PVC2023184"/>
    <s v="Gold"/>
    <n v="29"/>
    <s v="ADULT"/>
    <s v="UNION BANK"/>
    <s v="Online Banking"/>
    <s v="DP3V311"/>
    <n v="53967"/>
  </r>
  <r>
    <s v="July"/>
    <d v="2022-07-04T00:00:00"/>
    <s v="DP2B183"/>
    <x v="3"/>
    <s v="Balexander@ymail.com"/>
    <s v="Male"/>
    <s v="PVC2023113"/>
    <s v="Premium"/>
    <n v="61"/>
    <s v="OLD CITIZEN"/>
    <s v="GTBANK PLC"/>
    <s v="USSD"/>
    <s v="DP3T525"/>
    <n v="138750"/>
  </r>
  <r>
    <s v="July"/>
    <d v="2022-07-05T00:00:00"/>
    <s v="DP2H162"/>
    <x v="82"/>
    <s v="Sthomas@coriftech.com"/>
    <s v="Male"/>
    <s v="PVC2023177"/>
    <s v="Standard"/>
    <n v="28"/>
    <s v="ADULT"/>
    <s v="UNION BANK"/>
    <s v="Partner Agent"/>
    <s v="DP2U256"/>
    <n v="180766"/>
  </r>
  <r>
    <s v="July"/>
    <d v="2022-07-10T00:00:00"/>
    <s v="DP3G404"/>
    <x v="14"/>
    <s v="Dcobb@coriftech.com"/>
    <s v="Male"/>
    <s v="PVC2023102"/>
    <s v="Gold"/>
    <n v="30"/>
    <s v="ADULT"/>
    <s v="UNION BANK"/>
    <s v="USSD"/>
    <s v="DP2G161"/>
    <n v="167389"/>
  </r>
  <r>
    <s v="July"/>
    <d v="2022-07-10T00:00:00"/>
    <s v="DP3C346"/>
    <x v="21"/>
    <s v="Abarnes@gmail.com"/>
    <s v="Female"/>
    <s v="PVC2023136"/>
    <s v="Premium"/>
    <n v="58"/>
    <s v="SENIOR CITIZEN"/>
    <s v="STANDARD CHARTERED"/>
    <s v="Partner Agent"/>
    <s v="DP2Y234"/>
    <n v="49248"/>
  </r>
  <r>
    <s v="July"/>
    <d v="2022-07-10T00:00:00"/>
    <s v="DP3H594"/>
    <x v="94"/>
    <s v="Jmccarty@gmail.com"/>
    <s v="Male"/>
    <s v="PVC2023120"/>
    <s v="Standard"/>
    <n v="76"/>
    <s v="OLD CITIZEN"/>
    <s v="UNION BANK"/>
    <s v="Over The Counter"/>
    <s v="DP3K597"/>
    <n v="146152"/>
  </r>
  <r>
    <s v="July"/>
    <d v="2022-07-10T00:00:00"/>
    <s v="DP3C373"/>
    <x v="78"/>
    <s v="Ijones@ymail.com"/>
    <s v="Male"/>
    <s v="PVC2023171"/>
    <s v="Premium"/>
    <n v="24"/>
    <s v="ADULT"/>
    <s v="STANBIC IBTC BANK"/>
    <s v="USSD"/>
    <s v="DP2H162"/>
    <n v="155496"/>
  </r>
  <r>
    <s v="July"/>
    <d v="2022-07-12T00:00:00"/>
    <s v="DP3H324"/>
    <x v="27"/>
    <s v="Okidd@gmail.com"/>
    <s v="Male"/>
    <s v="PVC2023134"/>
    <s v="Premium"/>
    <n v="68"/>
    <s v="OLD CITIZEN"/>
    <s v="ZENITH BANK"/>
    <s v="Mobile Transfer"/>
    <s v="DP2W150"/>
    <n v="30808"/>
  </r>
  <r>
    <s v="July"/>
    <d v="2022-07-12T00:00:00"/>
    <s v="DP3K354"/>
    <x v="50"/>
    <s v="Jmckinney@coriftech.com"/>
    <s v="Female"/>
    <s v="PVC2023107"/>
    <s v="Gold"/>
    <n v="31"/>
    <s v="ADULT"/>
    <s v="ZENITH BANK"/>
    <s v="Partner Agent"/>
    <s v="DP2P278"/>
    <n v="143595"/>
  </r>
  <r>
    <s v="July"/>
    <d v="2022-07-14T00:00:00"/>
    <s v="DP3S416"/>
    <x v="37"/>
    <s v="Oselhorst@gmail.com"/>
    <s v="Female"/>
    <s v="PVC2023178"/>
    <s v="Standard"/>
    <n v="66"/>
    <s v="OLD CITIZEN"/>
    <s v="STANBIC IBTC BANK"/>
    <s v="Over The Counter"/>
    <s v="DP3N438"/>
    <n v="16744"/>
  </r>
  <r>
    <s v="July"/>
    <d v="2022-07-14T00:00:00"/>
    <s v="DP3U580"/>
    <x v="77"/>
    <s v="Jdennis@ymail.com"/>
    <s v="Male"/>
    <s v="PVC2023162"/>
    <s v="Premium"/>
    <n v="76"/>
    <s v="OLD CITIZEN"/>
    <s v="FIRST BANK"/>
    <s v="Mobile Transfer"/>
    <s v="DP3G350"/>
    <n v="76925"/>
  </r>
  <r>
    <s v="July"/>
    <d v="2022-07-15T00:00:00"/>
    <s v="DP3J596"/>
    <x v="95"/>
    <s v="Sherriot@gmail.com"/>
    <s v="Male"/>
    <s v="PVC2023155"/>
    <s v="Standard"/>
    <n v="34"/>
    <s v="ADULT"/>
    <s v="FIRST BANK"/>
    <s v="Partner Agent"/>
    <s v="DP3M356"/>
    <n v="158051"/>
  </r>
  <r>
    <s v="July"/>
    <d v="2022-07-16T00:00:00"/>
    <s v="DP3K516"/>
    <x v="80"/>
    <s v="Kbush@coriftech.com"/>
    <s v="Female"/>
    <s v="PVC2023180"/>
    <s v="Standard"/>
    <n v="48"/>
    <s v="SENIOR CITIZEN"/>
    <s v="ACCESS BANK"/>
    <s v="Partner Agent"/>
    <s v="DP2D104"/>
    <n v="146152"/>
  </r>
  <r>
    <s v="July"/>
    <d v="2022-07-17T00:00:00"/>
    <s v="DP2A128"/>
    <x v="68"/>
    <s v="Tdennis@gmail.com"/>
    <s v="Male"/>
    <s v="PVC2023133"/>
    <s v="Premium"/>
    <n v="37"/>
    <s v="ADULT"/>
    <s v="STANBIC IBTC BANK"/>
    <s v="Partner Agent"/>
    <s v="DP3U580"/>
    <n v="154081"/>
  </r>
  <r>
    <s v="July"/>
    <d v="2022-07-17T00:00:00"/>
    <s v="DP3A452"/>
    <x v="38"/>
    <s v="Atillman@ymail.com"/>
    <s v="Male"/>
    <s v="PVC2023119"/>
    <s v="Gold"/>
    <n v="63"/>
    <s v="OLD CITIZEN"/>
    <s v="ZENITH BANK"/>
    <s v="Partner Agent"/>
    <s v="DP3Y396"/>
    <n v="45140"/>
  </r>
  <r>
    <s v="July"/>
    <d v="2022-07-18T00:00:00"/>
    <s v="DP2K219"/>
    <x v="18"/>
    <s v="Hpanovsky@ymail.com"/>
    <s v="Male"/>
    <s v="PVC2023182"/>
    <s v="Standard"/>
    <n v="59"/>
    <s v="SENIOR CITIZEN"/>
    <s v="FIDELITY BANK"/>
    <s v="Partner Agent"/>
    <s v="DP2D239"/>
    <n v="64498"/>
  </r>
  <r>
    <s v="July"/>
    <d v="2022-07-20T00:00:00"/>
    <s v="DP3J353"/>
    <x v="7"/>
    <s v="Bbest@gmail.com"/>
    <s v="Female"/>
    <s v="PVC2023125"/>
    <s v="Premium"/>
    <n v="28"/>
    <s v="ADULT"/>
    <s v="UNITED BANK FOR AFRICA"/>
    <s v="Partner Agent"/>
    <s v="DP2L166"/>
    <n v="22830"/>
  </r>
  <r>
    <s v="July"/>
    <d v="2022-07-20T00:00:00"/>
    <s v="DP3B372"/>
    <x v="3"/>
    <s v="Balexander@ymail.com"/>
    <s v="Male"/>
    <s v="PVC2023113"/>
    <s v="Premium"/>
    <n v="61"/>
    <s v="OLD CITIZEN"/>
    <s v="UNITED BANK FOR AFRICA"/>
    <s v="Partner Agent"/>
    <s v="DP2Q144"/>
    <n v="179493"/>
  </r>
  <r>
    <s v="July"/>
    <d v="2022-07-20T00:00:00"/>
    <s v="DP3I379"/>
    <x v="79"/>
    <s v="Amcconnell@coriftech.com"/>
    <s v="Female"/>
    <s v="PVC2023168"/>
    <s v="Standard"/>
    <n v="32"/>
    <s v="ADULT"/>
    <s v="WEMA BANK"/>
    <s v="Over The Counter"/>
    <s v="DP3L328"/>
    <n v="130234"/>
  </r>
  <r>
    <s v="July"/>
    <d v="2022-07-22T00:00:00"/>
    <s v="DP2S146"/>
    <x v="11"/>
    <s v="Iselhorst@coriftech.com"/>
    <s v="Female"/>
    <s v="PVC2023144"/>
    <s v="Premium"/>
    <n v="54"/>
    <s v="SENIOR CITIZEN"/>
    <s v="WEMA BANK"/>
    <s v="Online Banking"/>
    <s v="DP3U607"/>
    <n v="33291"/>
  </r>
  <r>
    <s v="July"/>
    <d v="2022-07-23T00:00:00"/>
    <s v="DP3B345"/>
    <x v="88"/>
    <s v="Dspencer@coriftech.com"/>
    <s v="Male"/>
    <s v="PVC2023123"/>
    <s v="Standard"/>
    <n v="59"/>
    <s v="SENIOR CITIZEN"/>
    <s v="GTBANK PLC"/>
    <s v="Online Banking"/>
    <s v="DP2N168"/>
    <n v="43684"/>
  </r>
  <r>
    <s v="July"/>
    <d v="2022-07-24T00:00:00"/>
    <s v="DP2S119"/>
    <x v="88"/>
    <s v="Dspencer@coriftech.com"/>
    <s v="Male"/>
    <s v="PVC2023123"/>
    <s v="Standard"/>
    <n v="59"/>
    <s v="SENIOR CITIZEN"/>
    <s v="ZENITH BANK"/>
    <s v="Partner Agent"/>
    <s v="DP2F160"/>
    <n v="82907"/>
  </r>
  <r>
    <s v="July"/>
    <d v="2022-07-25T00:00:00"/>
    <s v="DP2F295"/>
    <x v="52"/>
    <s v="Kjimenez@ymail.com"/>
    <s v="Female"/>
    <s v="PVC2023165"/>
    <s v="Standard"/>
    <n v="35"/>
    <s v="ADULT"/>
    <s v="WEMA BANK"/>
    <s v="Over The Counter"/>
    <s v="DP2F295"/>
    <n v="30550"/>
  </r>
  <r>
    <s v="July"/>
    <d v="2022-07-25T00:00:00"/>
    <s v="DP2X179"/>
    <x v="1"/>
    <s v="Rmitchell@gmail.com"/>
    <s v="Female"/>
    <s v="PVC2023141"/>
    <s v="Premium"/>
    <n v="72"/>
    <s v="OLD CITIZEN"/>
    <s v="FIRST BANK"/>
    <s v="Partner Agent"/>
    <s v="DP2A182"/>
    <n v="78069"/>
  </r>
  <r>
    <s v="July"/>
    <d v="2022-07-25T00:00:00"/>
    <s v="DP3A479"/>
    <x v="51"/>
    <s v="Asolis@ymail.com"/>
    <s v="Female"/>
    <s v="PVC2023124"/>
    <s v="Standard"/>
    <n v="29"/>
    <s v="ADULT"/>
    <s v="UNITED BANK FOR AFRICA"/>
    <s v="USSD"/>
    <s v="DP3X530"/>
    <n v="138925"/>
  </r>
  <r>
    <s v="July"/>
    <d v="2022-07-27T00:00:00"/>
    <s v="DP3N411"/>
    <x v="62"/>
    <s v="Bfernandez@gmail.com"/>
    <s v="Male"/>
    <s v="PVC2023191"/>
    <s v="Premium"/>
    <n v="47"/>
    <s v="SENIOR CITIZEN"/>
    <s v="UNITED BANK FOR AFRICA"/>
    <s v="Partner Agent"/>
    <s v="DP3S389"/>
    <n v="134882"/>
  </r>
  <r>
    <s v="July"/>
    <d v="2022-07-29T00:00:00"/>
    <s v="DP3Y315"/>
    <x v="75"/>
    <s v="Eduane@gmail.com"/>
    <s v="Male"/>
    <s v="PVC2023195"/>
    <s v="Standard"/>
    <n v="35"/>
    <s v="ADULT"/>
    <s v="FIDELITY BANK"/>
    <s v="USSD"/>
    <s v="DP3M545"/>
    <n v="135463"/>
  </r>
  <r>
    <s v="July"/>
    <d v="2022-07-29T00:00:00"/>
    <s v="DP3C562"/>
    <x v="87"/>
    <s v="Emercer@ymail.com"/>
    <s v="Female"/>
    <s v="PVC2023159"/>
    <s v="Standard"/>
    <n v="24"/>
    <s v="ADULT"/>
    <s v="WEMA BANK"/>
    <s v="USSD"/>
    <s v="DP3J326"/>
    <n v="40308"/>
  </r>
  <r>
    <s v="July"/>
    <d v="2022-07-29T00:00:00"/>
    <s v="DP2M221"/>
    <x v="9"/>
    <s v="Omcclure@gmail.com"/>
    <s v="Male"/>
    <s v="PVC2023154"/>
    <s v="Standard"/>
    <n v="60"/>
    <s v="SENIOR CITIZEN"/>
    <s v="UNITED BANK FOR AFRICA"/>
    <s v="Partner Agent"/>
    <s v="DP3G323"/>
    <n v="174108"/>
  </r>
  <r>
    <s v="July"/>
    <d v="2022-07-30T00:00:00"/>
    <s v="DP2G161"/>
    <x v="36"/>
    <s v="Amacdonald@gmail.com"/>
    <s v="Male"/>
    <s v="PVC2023150"/>
    <s v="Gold"/>
    <n v="29"/>
    <s v="ADULT"/>
    <s v="GTBANK PLC"/>
    <s v="Partner Agent"/>
    <s v="DP3J515"/>
    <n v="110252"/>
  </r>
  <r>
    <s v="July"/>
    <d v="2022-07-30T00:00:00"/>
    <s v="DP3K435"/>
    <x v="48"/>
    <s v="Lporter@gmail.com"/>
    <s v="Female"/>
    <s v="PVC2023137"/>
    <s v="Gold"/>
    <n v="68"/>
    <s v="OLD CITIZEN"/>
    <s v="STANDARD CHARTERED"/>
    <s v="USSD"/>
    <s v="DP3Z370"/>
    <n v="46612"/>
  </r>
  <r>
    <s v="July"/>
    <d v="2022-07-30T00:00:00"/>
    <s v="DP3Z316"/>
    <x v="96"/>
    <s v="Nwalton@gmail.com"/>
    <s v="Male"/>
    <s v="PVC2023114"/>
    <s v="Gold"/>
    <n v="44"/>
    <s v="SENIOR CITIZEN"/>
    <s v="WEMA BANK"/>
    <s v="Over The Counter"/>
    <s v="DP2Y288"/>
    <n v="129688"/>
  </r>
  <r>
    <s v="August"/>
    <d v="2022-08-01T00:00:00"/>
    <s v="DP2B291"/>
    <x v="12"/>
    <s v="Epanovsky@gmail.com"/>
    <s v="Female"/>
    <s v="PVC2023198"/>
    <s v="Gold"/>
    <n v="19"/>
    <s v="TEEN"/>
    <s v="UNION BANK"/>
    <s v="Online Banking"/>
    <s v="DP3G539"/>
    <n v="142359"/>
  </r>
  <r>
    <s v="August"/>
    <d v="2022-08-02T00:00:00"/>
    <s v="DP3X368"/>
    <x v="18"/>
    <s v="Hpanovsky@ymail.com"/>
    <s v="Male"/>
    <s v="PVC2023182"/>
    <s v="Standard"/>
    <n v="59"/>
    <s v="SENIOR CITIZEN"/>
    <s v="UNION BANK"/>
    <s v="USSD"/>
    <s v="DP3L598"/>
    <n v="137933"/>
  </r>
  <r>
    <s v="August"/>
    <d v="2022-08-02T00:00:00"/>
    <s v="DP3Z586"/>
    <x v="59"/>
    <s v="Sorr@gmail.com"/>
    <s v="Female"/>
    <s v="PVC2023164"/>
    <s v="Gold"/>
    <n v="40"/>
    <s v="ADULT"/>
    <s v="ACCESS BANK"/>
    <s v="Partner Agent"/>
    <s v="DP3R361"/>
    <n v="183919"/>
  </r>
  <r>
    <s v="August"/>
    <d v="2022-08-02T00:00:00"/>
    <s v="DP3P575"/>
    <x v="86"/>
    <s v="Awise@coriftech.com"/>
    <s v="Male"/>
    <s v="PVC2023174"/>
    <s v="Standard"/>
    <n v="64"/>
    <s v="OLD CITIZEN"/>
    <s v="UNION BANK"/>
    <s v="Partner Agent"/>
    <s v="DP2G134"/>
    <n v="36312"/>
  </r>
  <r>
    <s v="August"/>
    <d v="2022-08-02T00:00:00"/>
    <s v="DP3I325"/>
    <x v="28"/>
    <s v="Aezichi@gmail.com"/>
    <s v="Female"/>
    <s v="PVC2023194"/>
    <s v="Standard"/>
    <n v="37"/>
    <s v="ADULT"/>
    <s v="UNITED BANK FOR AFRICA"/>
    <s v="Over The Counter"/>
    <s v="DP2C184"/>
    <n v="96530"/>
  </r>
  <r>
    <s v="August"/>
    <d v="2022-08-03T00:00:00"/>
    <s v="DP3Q360"/>
    <x v="65"/>
    <s v="Omitchell@ymail.com"/>
    <s v="Female"/>
    <s v="PVC2023190"/>
    <s v="Premium"/>
    <n v="28"/>
    <s v="ADULT"/>
    <s v="FIDELITY BANK"/>
    <s v="Partner Agent"/>
    <s v="DP3B345"/>
    <n v="75482"/>
  </r>
  <r>
    <s v="August"/>
    <d v="2022-08-05T00:00:00"/>
    <s v="DP2P251"/>
    <x v="69"/>
    <s v="Aknowles@gmail.com"/>
    <s v="Male"/>
    <s v="PVC2023184"/>
    <s v="Gold"/>
    <n v="29"/>
    <s v="ADULT"/>
    <s v="ZENITH BANK"/>
    <s v="Partner Agent"/>
    <s v="DP3D347"/>
    <n v="52691"/>
  </r>
  <r>
    <s v="August"/>
    <d v="2022-08-05T00:00:00"/>
    <s v="DP3Z505"/>
    <x v="30"/>
    <s v="Logbonna@ymail.com"/>
    <s v="Male"/>
    <s v="PVC2023111"/>
    <s v="Premium"/>
    <n v="46"/>
    <s v="SENIOR CITIZEN"/>
    <s v="FIRST BANK"/>
    <s v="Partner Agent"/>
    <s v="DP3Y558"/>
    <n v="66506"/>
  </r>
  <r>
    <s v="August"/>
    <d v="2022-08-07T00:00:00"/>
    <s v="DP3J542"/>
    <x v="81"/>
    <s v="Lcarter@coriftech.com"/>
    <s v="Female"/>
    <s v="PVC2023101"/>
    <s v="Standard"/>
    <n v="26"/>
    <s v="ADULT"/>
    <s v="STANDARD CHARTERED"/>
    <s v="Partner Agent"/>
    <s v="DP3P494"/>
    <n v="157532"/>
  </r>
  <r>
    <s v="August"/>
    <d v="2022-08-09T00:00:00"/>
    <s v="DP3V446"/>
    <x v="42"/>
    <s v="Aweaver@ymail.com"/>
    <s v="Male"/>
    <s v="PVC2023105"/>
    <s v="Gold"/>
    <n v="39"/>
    <s v="ADULT"/>
    <s v="UNION BANK"/>
    <s v="Partner Agent"/>
    <s v="DP3W393"/>
    <n v="121963"/>
  </r>
  <r>
    <s v="August"/>
    <d v="2022-08-10T00:00:00"/>
    <s v="DP3M545"/>
    <x v="46"/>
    <s v="Nyancer@gmail.com"/>
    <s v="Female"/>
    <s v="PVC2023129"/>
    <s v="Gold"/>
    <n v="29"/>
    <s v="ADULT"/>
    <s v="WEMA BANK"/>
    <s v="Online Banking"/>
    <s v="DP3S497"/>
    <n v="47647"/>
  </r>
  <r>
    <s v="August"/>
    <d v="2022-08-10T00:00:00"/>
    <s v="DP3D320"/>
    <x v="21"/>
    <s v="Abarnes@gmail.com"/>
    <s v="Female"/>
    <s v="PVC2023136"/>
    <s v="Premium"/>
    <n v="58"/>
    <s v="SENIOR CITIZEN"/>
    <s v="STANBIC IBTC BANK"/>
    <s v="Mobile Transfer"/>
    <s v="DP3A452"/>
    <n v="61132"/>
  </r>
  <r>
    <s v="August"/>
    <d v="2022-08-11T00:00:00"/>
    <s v="DP3R415"/>
    <x v="3"/>
    <s v="Balexander@ymail.com"/>
    <s v="Male"/>
    <s v="PVC2023113"/>
    <s v="Premium"/>
    <n v="61"/>
    <s v="OLD CITIZEN"/>
    <s v="FIDELITY BANK"/>
    <s v="Partner Agent"/>
    <s v="DP3B426"/>
    <n v="93537"/>
  </r>
  <r>
    <s v="August"/>
    <d v="2022-08-11T00:00:00"/>
    <s v="DP3T498"/>
    <x v="3"/>
    <s v="Balexander@ymail.com"/>
    <s v="Male"/>
    <s v="PVC2023113"/>
    <s v="Premium"/>
    <n v="61"/>
    <s v="OLD CITIZEN"/>
    <s v="WEMA BANK"/>
    <s v="Over The Counter"/>
    <s v="DP3L409"/>
    <n v="121132"/>
  </r>
  <r>
    <s v="August"/>
    <d v="2022-08-11T00:00:00"/>
    <s v="DP3E348"/>
    <x v="38"/>
    <s v="Atillman@ymail.com"/>
    <s v="Male"/>
    <s v="PVC2023119"/>
    <s v="Gold"/>
    <n v="63"/>
    <s v="OLD CITIZEN"/>
    <s v="ZENITH BANK"/>
    <s v="USSD"/>
    <s v="DP2I217"/>
    <n v="164095"/>
  </r>
  <r>
    <s v="August"/>
    <d v="2022-08-11T00:00:00"/>
    <s v="DP3E321"/>
    <x v="8"/>
    <s v="Oduke@coriftech.com"/>
    <s v="Male"/>
    <s v="PVC2023108"/>
    <s v="Standard"/>
    <n v="48"/>
    <s v="SENIOR CITIZEN"/>
    <s v="FIDELITY BANK"/>
    <s v="Mobile Transfer"/>
    <s v="DP2C292"/>
    <n v="85755"/>
  </r>
  <r>
    <s v="August"/>
    <d v="2022-08-11T00:00:00"/>
    <s v="DP2I163"/>
    <x v="42"/>
    <s v="Aweaver@ymail.com"/>
    <s v="Male"/>
    <s v="PVC2023105"/>
    <s v="Gold"/>
    <n v="39"/>
    <s v="ADULT"/>
    <s v="ACCESS BANK"/>
    <s v="Online Banking"/>
    <s v="DP3Y369"/>
    <n v="188465"/>
  </r>
  <r>
    <s v="August"/>
    <d v="2022-08-11T00:00:00"/>
    <s v="DP2Q117"/>
    <x v="7"/>
    <s v="Bbest@gmail.com"/>
    <s v="Female"/>
    <s v="PVC2023125"/>
    <s v="Premium"/>
    <n v="28"/>
    <s v="ADULT"/>
    <s v="UNION BANK"/>
    <s v="Partner Agent"/>
    <s v="DP3E456"/>
    <n v="77538"/>
  </r>
  <r>
    <s v="August"/>
    <d v="2022-08-12T00:00:00"/>
    <s v="DP3R334"/>
    <x v="42"/>
    <s v="Aweaver@ymail.com"/>
    <s v="Male"/>
    <s v="PVC2023105"/>
    <s v="Gold"/>
    <n v="39"/>
    <s v="ADULT"/>
    <s v="WEMA BANK"/>
    <s v="Mobile Transfer"/>
    <s v="DP3O520"/>
    <n v="57946"/>
  </r>
  <r>
    <s v="August"/>
    <d v="2022-08-12T00:00:00"/>
    <s v="DP3D374"/>
    <x v="21"/>
    <s v="Abarnes@gmail.com"/>
    <s v="Female"/>
    <s v="PVC2023136"/>
    <s v="Premium"/>
    <n v="58"/>
    <s v="SENIOR CITIZEN"/>
    <s v="UNION BANK"/>
    <s v="Partner Agent"/>
    <s v="DP3X395"/>
    <n v="78288"/>
  </r>
  <r>
    <s v="August"/>
    <d v="2022-08-13T00:00:00"/>
    <s v="DP3V365"/>
    <x v="87"/>
    <s v="Emercer@ymail.com"/>
    <s v="Female"/>
    <s v="PVC2023159"/>
    <s v="Standard"/>
    <n v="24"/>
    <s v="ADULT"/>
    <s v="GTBANK PLC"/>
    <s v="Online Banking"/>
    <s v="DP2K138"/>
    <n v="153487"/>
  </r>
  <r>
    <s v="August"/>
    <d v="2022-08-14T00:00:00"/>
    <s v="DP2R118"/>
    <x v="58"/>
    <s v="Nmack@gmail.com"/>
    <s v="Male"/>
    <s v="PVC2023139"/>
    <s v="Gold"/>
    <n v="64"/>
    <s v="OLD CITIZEN"/>
    <s v="WEMA BANK"/>
    <s v="USSD"/>
    <s v="DP2U148"/>
    <n v="107466"/>
  </r>
  <r>
    <s v="August"/>
    <d v="2022-08-15T00:00:00"/>
    <s v="DP3T525"/>
    <x v="65"/>
    <s v="Omitchell@ymail.com"/>
    <s v="Female"/>
    <s v="PVC2023190"/>
    <s v="Premium"/>
    <n v="28"/>
    <s v="ADULT"/>
    <s v="FIRST BANK"/>
    <s v="USSD"/>
    <s v="DP2M275"/>
    <n v="33384"/>
  </r>
  <r>
    <s v="August"/>
    <d v="2022-08-16T00:00:00"/>
    <s v="DP3W528"/>
    <x v="5"/>
    <s v="Ogilbert@gmail.com"/>
    <s v="Male"/>
    <s v="PVC2023179"/>
    <s v="Standard"/>
    <n v="22"/>
    <s v="ADULT"/>
    <s v="ZENITH BANK"/>
    <s v="Partner Agent"/>
    <s v="DP3V608"/>
    <n v="44365"/>
  </r>
  <r>
    <s v="August"/>
    <d v="2022-08-18T00:00:00"/>
    <s v="DP3K381"/>
    <x v="75"/>
    <s v="Eduane@gmail.com"/>
    <s v="Male"/>
    <s v="PVC2023195"/>
    <s v="Standard"/>
    <n v="35"/>
    <s v="ADULT"/>
    <s v="UNION BANK"/>
    <s v="USSD"/>
    <s v="DP3F403"/>
    <n v="17745"/>
  </r>
  <r>
    <s v="August"/>
    <d v="2022-08-19T00:00:00"/>
    <s v="DP3B399"/>
    <x v="12"/>
    <s v="Epanovsky@gmail.com"/>
    <s v="Female"/>
    <s v="PVC2023198"/>
    <s v="Gold"/>
    <n v="19"/>
    <s v="TEEN"/>
    <s v="GTBANK PLC"/>
    <s v="Mobile Transfer"/>
    <s v="DP3W501"/>
    <n v="89774"/>
  </r>
  <r>
    <s v="August"/>
    <d v="2022-08-19T00:00:00"/>
    <s v="DP2C238"/>
    <x v="29"/>
    <s v="Pdixon@gmail.com"/>
    <s v="Female"/>
    <s v="PVC2023152"/>
    <s v="Standard"/>
    <n v="34"/>
    <s v="ADULT"/>
    <s v="UNION BANK"/>
    <s v="Mobile Transfer"/>
    <s v="DP2F214"/>
    <n v="111299"/>
  </r>
  <r>
    <s v="August"/>
    <d v="2022-08-19T00:00:00"/>
    <s v="DP2R280"/>
    <x v="85"/>
    <s v="Rjones@gmail.com"/>
    <s v="Female"/>
    <s v="PVC2023140"/>
    <s v="Standard"/>
    <n v="51"/>
    <s v="SENIOR CITIZEN"/>
    <s v="STANBIC IBTC BANK"/>
    <s v="Partner Agent"/>
    <s v="DP2E267"/>
    <n v="30461"/>
  </r>
  <r>
    <s v="August"/>
    <d v="2022-08-19T00:00:00"/>
    <s v="DP3F538"/>
    <x v="33"/>
    <s v="Jgarza@ymail.com"/>
    <s v="Male"/>
    <s v="PVC2023147"/>
    <s v="Premium"/>
    <n v="60"/>
    <s v="SENIOR CITIZEN"/>
    <s v="FIRST BANK"/>
    <s v="USSD"/>
    <s v="DP3A344"/>
    <n v="155937"/>
  </r>
  <r>
    <s v="August"/>
    <d v="2022-08-19T00:00:00"/>
    <s v="DP2Y207"/>
    <x v="19"/>
    <s v="Bnankam@coriftech.com"/>
    <s v="Male"/>
    <s v="PVC2023143"/>
    <s v="Gold"/>
    <n v="64"/>
    <s v="OLD CITIZEN"/>
    <s v="FIRST BANK"/>
    <s v="Online Banking"/>
    <s v="DP3S335"/>
    <n v="17177"/>
  </r>
  <r>
    <s v="August"/>
    <d v="2022-08-20T00:00:00"/>
    <s v="DP3S551"/>
    <x v="85"/>
    <s v="Rjones@gmail.com"/>
    <s v="Female"/>
    <s v="PVC2023140"/>
    <s v="Standard"/>
    <n v="51"/>
    <s v="SENIOR CITIZEN"/>
    <s v="FIRST BANK"/>
    <s v="Partner Agent"/>
    <s v="DP3J407"/>
    <n v="133713"/>
  </r>
  <r>
    <s v="August"/>
    <d v="2022-08-20T00:00:00"/>
    <s v="DP3D401"/>
    <x v="57"/>
    <s v="Avang@coriftech.com"/>
    <s v="Male"/>
    <s v="PVC2023199"/>
    <s v="Standard"/>
    <n v="44"/>
    <s v="SENIOR CITIZEN"/>
    <s v="UNITED BANK FOR AFRICA"/>
    <s v="USSD"/>
    <s v="DP3J380"/>
    <n v="12216"/>
  </r>
  <r>
    <s v="August"/>
    <d v="2022-08-22T00:00:00"/>
    <s v="DP2F187"/>
    <x v="36"/>
    <s v="Amacdonald@gmail.com"/>
    <s v="Male"/>
    <s v="PVC2023150"/>
    <s v="Gold"/>
    <n v="29"/>
    <s v="ADULT"/>
    <s v="STANDARD CHARTERED"/>
    <s v="Partner Agent"/>
    <s v="DP3T309"/>
    <n v="105728"/>
  </r>
  <r>
    <s v="August"/>
    <d v="2022-08-22T00:00:00"/>
    <s v="DP3A560"/>
    <x v="86"/>
    <s v="Awise@coriftech.com"/>
    <s v="Male"/>
    <s v="PVC2023174"/>
    <s v="Standard"/>
    <n v="64"/>
    <s v="OLD CITIZEN"/>
    <s v="ACCESS BANK"/>
    <s v="Partner Agent"/>
    <s v="DP2W285"/>
    <n v="87849"/>
  </r>
  <r>
    <s v="August"/>
    <d v="2022-08-23T00:00:00"/>
    <s v="DP3O331"/>
    <x v="97"/>
    <s v="Gapple@ymail.com"/>
    <s v="Male"/>
    <s v="PVC2023167"/>
    <s v="Premium"/>
    <n v="41"/>
    <s v="SENIOR CITIZEN"/>
    <s v="ZENITH BANK"/>
    <s v="Partner Agent"/>
    <s v="DP3J542"/>
    <n v="173125"/>
  </r>
  <r>
    <s v="August"/>
    <d v="2022-08-24T00:00:00"/>
    <s v="DP3Z397"/>
    <x v="29"/>
    <s v="Pdixon@gmail.com"/>
    <s v="Female"/>
    <s v="PVC2023152"/>
    <s v="Standard"/>
    <n v="34"/>
    <s v="ADULT"/>
    <s v="ACCESS BANK"/>
    <s v="Over The Counter"/>
    <s v="DP3B372"/>
    <n v="17146"/>
  </r>
  <r>
    <s v="August"/>
    <d v="2022-08-24T00:00:00"/>
    <s v="DP2V176"/>
    <x v="24"/>
    <s v="Afitzpatrick@gmail.com"/>
    <s v="Male"/>
    <s v="PVC2023148"/>
    <s v="Standard"/>
    <n v="59"/>
    <s v="SENIOR CITIZEN"/>
    <s v="ZENITH BANK"/>
    <s v="Online Banking"/>
    <s v="DP2J137"/>
    <n v="51730"/>
  </r>
  <r>
    <s v="August"/>
    <d v="2022-08-25T00:00:00"/>
    <s v="DP3C319"/>
    <x v="84"/>
    <s v="Ojames@coriftech.com"/>
    <s v="Male"/>
    <s v="PVC2023189"/>
    <s v="Premium"/>
    <n v="48"/>
    <s v="SENIOR CITIZEN"/>
    <s v="ZENITH BANK"/>
    <s v="Partner Agent"/>
    <s v="DP2O169"/>
    <n v="63818"/>
  </r>
  <r>
    <s v="August"/>
    <d v="2022-08-25T00:00:00"/>
    <s v="DP3P521"/>
    <x v="31"/>
    <s v="Fjordan@coriftech.com"/>
    <s v="Female"/>
    <s v="PVC2023132"/>
    <s v="Standard"/>
    <n v="68"/>
    <s v="OLD CITIZEN"/>
    <s v="STANDARD CHARTERED"/>
    <s v="Online Banking"/>
    <s v="DP2T201"/>
    <n v="74941"/>
  </r>
  <r>
    <s v="August"/>
    <d v="2022-08-26T00:00:00"/>
    <s v="DP3E429"/>
    <x v="51"/>
    <s v="Asolis@ymail.com"/>
    <s v="Female"/>
    <s v="PVC2023124"/>
    <s v="Standard"/>
    <n v="29"/>
    <s v="ADULT"/>
    <s v="UNION BANK"/>
    <s v="Online Banking"/>
    <s v="DP3Q522"/>
    <n v="138221"/>
  </r>
  <r>
    <s v="August"/>
    <d v="2022-08-27T00:00:00"/>
    <s v="DP3U337"/>
    <x v="67"/>
    <s v="Iburris@coriftech.com"/>
    <s v="Female"/>
    <s v="PVC2023128"/>
    <s v="Gold"/>
    <n v="50"/>
    <s v="SENIOR CITIZEN"/>
    <s v="UNION BANK"/>
    <s v="Over The Counter"/>
    <s v="DP3N492"/>
    <n v="156416"/>
  </r>
  <r>
    <s v="August"/>
    <d v="2022-08-27T00:00:00"/>
    <s v="DP3Q522"/>
    <x v="42"/>
    <s v="Aweaver@ymail.com"/>
    <s v="Male"/>
    <s v="PVC2023105"/>
    <s v="Gold"/>
    <n v="39"/>
    <s v="ADULT"/>
    <s v="UNION BANK"/>
    <s v="Over The Counter"/>
    <s v="DP2S173"/>
    <n v="123808"/>
  </r>
  <r>
    <s v="August"/>
    <d v="2022-08-27T00:00:00"/>
    <s v="DP3K597"/>
    <x v="68"/>
    <s v="Tdennis@gmail.com"/>
    <s v="Male"/>
    <s v="PVC2023133"/>
    <s v="Premium"/>
    <n v="37"/>
    <s v="ADULT"/>
    <s v="FIRST BANK"/>
    <s v="Mobile Transfer"/>
    <s v="DP2V122"/>
    <n v="21876"/>
  </r>
  <r>
    <s v="August"/>
    <d v="2022-08-28T00:00:00"/>
    <s v="DP2J137"/>
    <x v="80"/>
    <s v="Kbush@coriftech.com"/>
    <s v="Female"/>
    <s v="PVC2023180"/>
    <s v="Standard"/>
    <n v="48"/>
    <s v="SENIOR CITIZEN"/>
    <s v="UNION BANK"/>
    <s v="Mobile Transfer"/>
    <s v="DP3X368"/>
    <n v="146416"/>
  </r>
  <r>
    <s v="August"/>
    <d v="2022-08-28T00:00:00"/>
    <s v="DP3N357"/>
    <x v="36"/>
    <s v="Amacdonald@gmail.com"/>
    <s v="Male"/>
    <s v="PVC2023150"/>
    <s v="Gold"/>
    <n v="29"/>
    <s v="ADULT"/>
    <s v="UNION BANK"/>
    <s v="Online Banking"/>
    <s v="DP2E105"/>
    <n v="78413"/>
  </r>
  <r>
    <s v="August"/>
    <d v="2022-08-28T00:00:00"/>
    <s v="DP2I298"/>
    <x v="20"/>
    <s v="Tperkins@coriftech.com"/>
    <s v="Female"/>
    <s v="PVC2023176"/>
    <s v="Standard"/>
    <n v="73"/>
    <s v="OLD CITIZEN"/>
    <s v="STANBIC IBTC BANK"/>
    <s v="Mobile Transfer"/>
    <s v="DP2C103"/>
    <n v="64962"/>
  </r>
  <r>
    <s v="August"/>
    <d v="2022-08-29T00:00:00"/>
    <s v="DP3M356"/>
    <x v="59"/>
    <s v="Sorr@gmail.com"/>
    <s v="Female"/>
    <s v="PVC2023164"/>
    <s v="Gold"/>
    <n v="40"/>
    <s v="ADULT"/>
    <s v="WEMA BANK"/>
    <s v="Partner Agent"/>
    <s v="DP2Z205"/>
    <n v="170796"/>
  </r>
  <r>
    <s v="August"/>
    <d v="2022-08-30T00:00:00"/>
    <s v="DP3Z370"/>
    <x v="48"/>
    <s v="Lporter@gmail.com"/>
    <s v="Female"/>
    <s v="PVC2023137"/>
    <s v="Gold"/>
    <n v="68"/>
    <s v="OLD CITIZEN"/>
    <s v="FIRST BANK"/>
    <s v="Partner Agent"/>
    <s v="DP3T390"/>
    <n v="41949"/>
  </r>
  <r>
    <s v="September"/>
    <d v="2022-09-01T00:00:00"/>
    <s v="DP3Z478"/>
    <x v="44"/>
    <s v="Lbarnett@gmail.com"/>
    <s v="Male"/>
    <s v="PVC2023103"/>
    <s v="Standard"/>
    <n v="39"/>
    <s v="ADULT"/>
    <s v="ACCESS BANK"/>
    <s v="Partner Agent"/>
    <s v="DP3O547"/>
    <n v="38246"/>
  </r>
  <r>
    <s v="September"/>
    <d v="2022-09-04T00:00:00"/>
    <s v="DP2I244"/>
    <x v="96"/>
    <s v="Nwalton@gmail.com"/>
    <s v="Male"/>
    <s v="PVC2023114"/>
    <s v="Gold"/>
    <n v="44"/>
    <s v="SENIOR CITIZEN"/>
    <s v="UNION BANK"/>
    <s v="Partner Agent"/>
    <s v="DP2X260"/>
    <n v="146595"/>
  </r>
  <r>
    <s v="September"/>
    <d v="2022-09-04T00:00:00"/>
    <s v="DP3R469"/>
    <x v="98"/>
    <s v="Wogbonna@ymail.com"/>
    <s v="Female"/>
    <s v="PVC2023149"/>
    <s v="Premium"/>
    <n v="69"/>
    <s v="OLD CITIZEN"/>
    <s v="UNITED BANK FOR AFRICA"/>
    <s v="Mobile Transfer"/>
    <s v="DP2V203"/>
    <n v="127239"/>
  </r>
  <r>
    <s v="September"/>
    <d v="2022-09-04T00:00:00"/>
    <s v="DP3M464"/>
    <x v="65"/>
    <s v="Omitchell@ymail.com"/>
    <s v="Female"/>
    <s v="PVC2023190"/>
    <s v="Premium"/>
    <n v="28"/>
    <s v="ADULT"/>
    <s v="UNION BANK"/>
    <s v="Online Banking"/>
    <s v="DP3I595"/>
    <n v="164307"/>
  </r>
  <r>
    <s v="September"/>
    <d v="2022-09-05T00:00:00"/>
    <s v="DP3H540"/>
    <x v="82"/>
    <s v="Sthomas@coriftech.com"/>
    <s v="Male"/>
    <s v="PVC2023177"/>
    <s v="Standard"/>
    <n v="28"/>
    <s v="ADULT"/>
    <s v="UNITED BANK FOR AFRICA"/>
    <s v="Partner Agent"/>
    <s v="DP3Z475"/>
    <n v="30494"/>
  </r>
  <r>
    <s v="September"/>
    <d v="2022-09-06T00:00:00"/>
    <s v="DP3B534"/>
    <x v="12"/>
    <s v="Epanovsky@gmail.com"/>
    <s v="Female"/>
    <s v="PVC2023198"/>
    <s v="Gold"/>
    <n v="19"/>
    <s v="TEEN"/>
    <s v="GTBANK PLC"/>
    <s v="Partner Agent"/>
    <s v="DP2A209"/>
    <n v="49648"/>
  </r>
  <r>
    <s v="September"/>
    <d v="2022-09-06T00:00:00"/>
    <s v="DP2P197"/>
    <x v="96"/>
    <s v="Nwalton@gmail.com"/>
    <s v="Male"/>
    <s v="PVC2023114"/>
    <s v="Gold"/>
    <n v="44"/>
    <s v="SENIOR CITIZEN"/>
    <s v="UNION BANK"/>
    <s v="Partner Agent"/>
    <s v="DP2P170"/>
    <n v="49059"/>
  </r>
  <r>
    <s v="September"/>
    <d v="2022-09-06T00:00:00"/>
    <s v="DP2J164"/>
    <x v="42"/>
    <s v="Aweaver@ymail.com"/>
    <s v="Male"/>
    <s v="PVC2023105"/>
    <s v="Gold"/>
    <n v="39"/>
    <s v="ADULT"/>
    <s v="UNITED BANK FOR AFRICA"/>
    <s v="Partner Agent"/>
    <s v="DP3H459"/>
    <n v="43605"/>
  </r>
  <r>
    <s v="September"/>
    <d v="2022-09-07T00:00:00"/>
    <s v="DP3S470"/>
    <x v="73"/>
    <s v="Fmerritt@gmail.com"/>
    <s v="Female"/>
    <s v="PVC2023193"/>
    <s v="Standard"/>
    <n v="66"/>
    <s v="OLD CITIZEN"/>
    <s v="UNITED BANK FOR AFRICA"/>
    <s v="USSD"/>
    <s v="DP3T363"/>
    <n v="134633"/>
  </r>
  <r>
    <s v="September"/>
    <d v="2022-09-07T00:00:00"/>
    <s v="DP3Z475"/>
    <x v="12"/>
    <s v="Epanovsky@gmail.com"/>
    <s v="Female"/>
    <s v="PVC2023198"/>
    <s v="Gold"/>
    <n v="19"/>
    <s v="TEEN"/>
    <s v="ACCESS BANK"/>
    <s v="Partner Agent"/>
    <s v="DP2E186"/>
    <n v="48353"/>
  </r>
  <r>
    <s v="September"/>
    <d v="2022-09-07T00:00:00"/>
    <s v="DP2O304"/>
    <x v="77"/>
    <s v="Jdennis@ymail.com"/>
    <s v="Male"/>
    <s v="PVC2023162"/>
    <s v="Premium"/>
    <n v="76"/>
    <s v="OLD CITIZEN"/>
    <s v="WEMA BANK"/>
    <s v="USSD"/>
    <s v="DP3L355"/>
    <n v="80681"/>
  </r>
  <r>
    <s v="September"/>
    <d v="2022-09-07T00:00:00"/>
    <s v="DP2H243"/>
    <x v="68"/>
    <s v="Tdennis@gmail.com"/>
    <s v="Male"/>
    <s v="PVC2023133"/>
    <s v="Premium"/>
    <n v="37"/>
    <s v="ADULT"/>
    <s v="FIRST BANK"/>
    <s v="USSD"/>
    <s v="DP3H324"/>
    <n v="52347"/>
  </r>
  <r>
    <s v="September"/>
    <d v="2022-09-08T00:00:00"/>
    <s v="DP2O142"/>
    <x v="65"/>
    <s v="Omitchell@ymail.com"/>
    <s v="Female"/>
    <s v="PVC2023190"/>
    <s v="Premium"/>
    <n v="28"/>
    <s v="ADULT"/>
    <s v="ZENITH BANK"/>
    <s v="Partner Agent"/>
    <s v="DP2G188"/>
    <n v="189464"/>
  </r>
  <r>
    <s v="September"/>
    <d v="2022-09-08T00:00:00"/>
    <s v="DP2D293"/>
    <x v="93"/>
    <s v="Jcallistus@gmail.com"/>
    <s v="Female"/>
    <s v="PVC2023156"/>
    <s v="Standard"/>
    <n v="36"/>
    <s v="ADULT"/>
    <s v="ZENITH BANK"/>
    <s v="USSD"/>
    <s v="DP3T606"/>
    <n v="9418"/>
  </r>
  <r>
    <s v="September"/>
    <d v="2022-09-09T00:00:00"/>
    <s v="DP2B264"/>
    <x v="39"/>
    <s v="Oferris@gmail.com"/>
    <s v="Female"/>
    <s v="PVC2023185"/>
    <s v="Standard"/>
    <n v="25"/>
    <s v="ADULT"/>
    <s v="UNION BANK"/>
    <s v="USSD"/>
    <s v="DP3B561"/>
    <n v="137029"/>
  </r>
  <r>
    <s v="September"/>
    <d v="2022-09-10T00:00:00"/>
    <s v="DP2H189"/>
    <x v="84"/>
    <s v="Ojames@coriftech.com"/>
    <s v="Male"/>
    <s v="PVC2023189"/>
    <s v="Premium"/>
    <n v="48"/>
    <s v="SENIOR CITIZEN"/>
    <s v="STANDARD CHARTERED"/>
    <s v="USSD"/>
    <s v="DP3L463"/>
    <n v="100698"/>
  </r>
  <r>
    <s v="September"/>
    <d v="2022-09-11T00:00:00"/>
    <s v="DP3O385"/>
    <x v="18"/>
    <s v="Hpanovsky@ymail.com"/>
    <s v="Male"/>
    <s v="PVC2023182"/>
    <s v="Standard"/>
    <n v="59"/>
    <s v="SENIOR CITIZEN"/>
    <s v="STANDARD CHARTERED"/>
    <s v="USSD"/>
    <s v="DP3I514"/>
    <n v="51148"/>
  </r>
  <r>
    <s v="September"/>
    <d v="2022-09-12T00:00:00"/>
    <s v="DP3U607"/>
    <x v="54"/>
    <s v="Ojohnson@coriftech.com"/>
    <s v="Female"/>
    <s v="PVC2023122"/>
    <s v="Gold"/>
    <n v="45"/>
    <s v="SENIOR CITIZEN"/>
    <s v="FIRST BANK"/>
    <s v="Over The Counter"/>
    <s v="DP2D266"/>
    <n v="123157"/>
  </r>
  <r>
    <s v="September"/>
    <d v="2022-09-12T00:00:00"/>
    <s v="DP2T174"/>
    <x v="8"/>
    <s v="Oduke@coriftech.com"/>
    <s v="Male"/>
    <s v="PVC2023108"/>
    <s v="Standard"/>
    <n v="48"/>
    <s v="SENIOR CITIZEN"/>
    <s v="ZENITH BANK"/>
    <s v="Online Banking"/>
    <s v="DP3V500"/>
    <n v="71971"/>
  </r>
  <r>
    <s v="September"/>
    <d v="2022-09-12T00:00:00"/>
    <s v="DP3Z556"/>
    <x v="11"/>
    <s v="Iselhorst@coriftech.com"/>
    <s v="Female"/>
    <s v="PVC2023144"/>
    <s v="Premium"/>
    <n v="54"/>
    <s v="SENIOR CITIZEN"/>
    <s v="FIRST BANK"/>
    <s v="USSD"/>
    <s v="DP3S470"/>
    <n v="29271"/>
  </r>
  <r>
    <s v="September"/>
    <d v="2022-09-13T00:00:00"/>
    <s v="DP3K462"/>
    <x v="8"/>
    <s v="Oduke@coriftech.com"/>
    <s v="Male"/>
    <s v="PVC2023108"/>
    <s v="Standard"/>
    <n v="48"/>
    <s v="SENIOR CITIZEN"/>
    <s v="UNITED BANK FOR AFRICA"/>
    <s v="Mobile Transfer"/>
    <s v="DP3U553"/>
    <n v="32890"/>
  </r>
  <r>
    <s v="September"/>
    <d v="2022-09-15T00:00:00"/>
    <s v="DP3S308"/>
    <x v="58"/>
    <s v="Nmack@gmail.com"/>
    <s v="Male"/>
    <s v="PVC2023139"/>
    <s v="Gold"/>
    <n v="64"/>
    <s v="OLD CITIZEN"/>
    <s v="ACCESS BANK"/>
    <s v="Mobile Transfer"/>
    <s v="DP3Y531"/>
    <n v="19802"/>
  </r>
  <r>
    <s v="September"/>
    <d v="2022-09-16T00:00:00"/>
    <s v="DP3E564"/>
    <x v="95"/>
    <s v="Sherriot@gmail.com"/>
    <s v="Male"/>
    <s v="PVC2023155"/>
    <s v="Standard"/>
    <n v="34"/>
    <s v="ADULT"/>
    <s v="UNITED BANK FOR AFRICA"/>
    <s v="USSD"/>
    <s v="DP2Q252"/>
    <n v="164198"/>
  </r>
  <r>
    <s v="September"/>
    <d v="2022-09-17T00:00:00"/>
    <s v="DP3P359"/>
    <x v="23"/>
    <s v="Bandrea@coriftech.com"/>
    <s v="Female"/>
    <s v="PVC2023117"/>
    <s v="Gold"/>
    <n v="19"/>
    <s v="TEEN"/>
    <s v="ACCESS BANK"/>
    <s v="Online Banking"/>
    <s v="DP2F106"/>
    <n v="154662"/>
  </r>
  <r>
    <s v="September"/>
    <d v="2022-09-17T00:00:00"/>
    <s v="DP3Y450"/>
    <x v="12"/>
    <s v="Epanovsky@gmail.com"/>
    <s v="Female"/>
    <s v="PVC2023198"/>
    <s v="Gold"/>
    <n v="19"/>
    <s v="TEEN"/>
    <s v="FIRST BANK"/>
    <s v="USSD"/>
    <s v="DP3G458"/>
    <n v="125448"/>
  </r>
  <r>
    <s v="September"/>
    <d v="2022-09-17T00:00:00"/>
    <s v="DP3H432"/>
    <x v="72"/>
    <s v="Fadams@ymail.com"/>
    <s v="Male"/>
    <s v="PVC2023172"/>
    <s v="Standard"/>
    <n v="50"/>
    <s v="SENIOR CITIZEN"/>
    <s v="STANBIC IBTC BANK"/>
    <s v="Partner Agent"/>
    <s v="DP2J218"/>
    <n v="108529"/>
  </r>
  <r>
    <s v="September"/>
    <d v="2022-09-17T00:00:00"/>
    <s v="DP2N222"/>
    <x v="90"/>
    <s v="Imatt@gmail.com"/>
    <s v="Male"/>
    <s v="PVC2023158"/>
    <s v="Gold"/>
    <n v="74"/>
    <s v="OLD CITIZEN"/>
    <s v="UNION BANK"/>
    <s v="USSD"/>
    <s v="DP2V149"/>
    <n v="24480"/>
  </r>
  <r>
    <s v="September"/>
    <d v="2022-09-18T00:00:00"/>
    <s v="DP2W150"/>
    <x v="10"/>
    <s v="Bjuarez@coriftech.com"/>
    <s v="Male"/>
    <s v="PVC2023173"/>
    <s v="Gold"/>
    <n v="71"/>
    <s v="OLD CITIZEN"/>
    <s v="ACCESS BANK"/>
    <s v="Partner Agent"/>
    <s v="DP2N249"/>
    <n v="159414"/>
  </r>
  <r>
    <s v="September"/>
    <d v="2022-09-19T00:00:00"/>
    <s v="DP2J299"/>
    <x v="96"/>
    <s v="Nwalton@gmail.com"/>
    <s v="Male"/>
    <s v="PVC2023114"/>
    <s v="Gold"/>
    <n v="44"/>
    <s v="SENIOR CITIZEN"/>
    <s v="UNITED BANK FOR AFRICA"/>
    <s v="Partner Agent"/>
    <s v="DP3M410"/>
    <n v="111312"/>
  </r>
  <r>
    <s v="September"/>
    <d v="2022-09-19T00:00:00"/>
    <s v="DP2T282"/>
    <x v="8"/>
    <s v="Oduke@coriftech.com"/>
    <s v="Male"/>
    <s v="PVC2023108"/>
    <s v="Standard"/>
    <n v="48"/>
    <s v="SENIOR CITIZEN"/>
    <s v="ACCESS BANK"/>
    <s v="Mobile Transfer"/>
    <s v="DP2M248"/>
    <n v="139684"/>
  </r>
  <r>
    <s v="September"/>
    <d v="2022-09-20T00:00:00"/>
    <s v="DP2X125"/>
    <x v="57"/>
    <s v="Avang@coriftech.com"/>
    <s v="Male"/>
    <s v="PVC2023199"/>
    <s v="Standard"/>
    <n v="44"/>
    <s v="SENIOR CITIZEN"/>
    <s v="UNION BANK"/>
    <s v="Mobile Transfer"/>
    <s v="DP2G215"/>
    <n v="111801"/>
  </r>
  <r>
    <s v="September"/>
    <d v="2022-09-20T00:00:00"/>
    <s v="DP2A182"/>
    <x v="97"/>
    <s v="Gapple@ymail.com"/>
    <s v="Male"/>
    <s v="PVC2023167"/>
    <s v="Premium"/>
    <n v="41"/>
    <s v="SENIOR CITIZEN"/>
    <s v="ZENITH BANK"/>
    <s v="Mobile Transfer"/>
    <s v="DP2Z262"/>
    <n v="109818"/>
  </r>
  <r>
    <s v="September"/>
    <d v="2022-09-22T00:00:00"/>
    <s v="DP3U364"/>
    <x v="91"/>
    <s v="Tdouglas@gmail.com"/>
    <s v="Female"/>
    <s v="PVC2023160"/>
    <s v="Standard"/>
    <n v="50"/>
    <s v="SENIOR CITIZEN"/>
    <s v="ACCESS BANK"/>
    <s v="Over The Counter"/>
    <s v="DP3R550"/>
    <n v="34025"/>
  </r>
  <r>
    <s v="September"/>
    <d v="2022-09-23T00:00:00"/>
    <s v="DP2J191"/>
    <x v="8"/>
    <s v="Oduke@coriftech.com"/>
    <s v="Male"/>
    <s v="PVC2023108"/>
    <s v="Standard"/>
    <n v="48"/>
    <s v="SENIOR CITIZEN"/>
    <s v="UNION BANK"/>
    <s v="USSD"/>
    <s v="DP2H243"/>
    <n v="66921"/>
  </r>
  <r>
    <s v="September"/>
    <d v="2022-09-27T00:00:00"/>
    <s v="DP2V149"/>
    <x v="6"/>
    <s v="Fguzzo@ymail.com"/>
    <s v="Male"/>
    <s v="PVC2023153"/>
    <s v="Standard"/>
    <n v="61"/>
    <s v="OLD CITIZEN"/>
    <s v="WEMA BANK"/>
    <s v="Partner Agent"/>
    <s v="DP3N357"/>
    <n v="27700"/>
  </r>
  <r>
    <s v="September"/>
    <d v="2022-09-27T00:00:00"/>
    <s v="DP3S497"/>
    <x v="55"/>
    <s v="Csmith@ymail.com"/>
    <s v="Male"/>
    <s v="PVC2023183"/>
    <s v="Standard"/>
    <n v="72"/>
    <s v="OLD CITIZEN"/>
    <s v="STANDARD CHARTERED"/>
    <s v="Over The Counter"/>
    <s v="DP2T282"/>
    <n v="92464"/>
  </r>
  <r>
    <s v="September"/>
    <d v="2022-09-29T00:00:00"/>
    <s v="DP2D158"/>
    <x v="87"/>
    <s v="Emercer@ymail.com"/>
    <s v="Female"/>
    <s v="PVC2023159"/>
    <s v="Standard"/>
    <n v="24"/>
    <s v="ADULT"/>
    <s v="STANDARD CHARTERED"/>
    <s v="Over The Counter"/>
    <s v="DP3F565"/>
    <n v="34281"/>
  </r>
  <r>
    <s v="September"/>
    <d v="2022-09-30T00:00:00"/>
    <s v="DP3R523"/>
    <x v="12"/>
    <s v="Epanovsky@gmail.com"/>
    <s v="Female"/>
    <s v="PVC2023198"/>
    <s v="Gold"/>
    <n v="19"/>
    <s v="TEEN"/>
    <s v="UNION BANK"/>
    <s v="Online Banking"/>
    <s v="DP3R604"/>
    <n v="63755"/>
  </r>
  <r>
    <s v="October"/>
    <d v="2022-10-01T00:00:00"/>
    <s v="DP2K192"/>
    <x v="8"/>
    <s v="Oduke@coriftech.com"/>
    <s v="Male"/>
    <s v="PVC2023108"/>
    <s v="Standard"/>
    <n v="48"/>
    <s v="SENIOR CITIZEN"/>
    <s v="FIDELITY BANK"/>
    <s v="USSD"/>
    <s v="DP3W366"/>
    <n v="110229"/>
  </r>
  <r>
    <s v="October"/>
    <d v="2022-10-01T00:00:00"/>
    <s v="DP2E105"/>
    <x v="30"/>
    <s v="Logbonna@ymail.com"/>
    <s v="Male"/>
    <s v="PVC2023111"/>
    <s v="Premium"/>
    <n v="46"/>
    <s v="SENIOR CITIZEN"/>
    <s v="FIRST BANK"/>
    <s v="Over The Counter"/>
    <s v="DP2Q225"/>
    <n v="30890"/>
  </r>
  <r>
    <s v="October"/>
    <d v="2022-10-02T00:00:00"/>
    <s v="DP2Y288"/>
    <x v="94"/>
    <s v="Jmccarty@gmail.com"/>
    <s v="Male"/>
    <s v="PVC2023120"/>
    <s v="Standard"/>
    <n v="76"/>
    <s v="OLD CITIZEN"/>
    <s v="UNION BANK"/>
    <s v="Partner Agent"/>
    <s v="DP3P332"/>
    <n v="14000"/>
  </r>
  <r>
    <s v="October"/>
    <d v="2022-10-04T00:00:00"/>
    <s v="DP3Q495"/>
    <x v="98"/>
    <s v="Wogbonna@ymail.com"/>
    <s v="Female"/>
    <s v="PVC2023149"/>
    <s v="Premium"/>
    <n v="69"/>
    <s v="OLD CITIZEN"/>
    <s v="FIDELITY BANK"/>
    <s v="Over The Counter"/>
    <s v="DP3D482"/>
    <n v="103542"/>
  </r>
  <r>
    <s v="October"/>
    <d v="2022-10-04T00:00:00"/>
    <s v="DP3J461"/>
    <x v="81"/>
    <s v="Lcarter@coriftech.com"/>
    <s v="Female"/>
    <s v="PVC2023101"/>
    <s v="Standard"/>
    <n v="26"/>
    <s v="ADULT"/>
    <s v="STANBIC IBTC BANK"/>
    <s v="USSD"/>
    <s v="DP3X422"/>
    <n v="155800"/>
  </r>
  <r>
    <s v="October"/>
    <d v="2022-10-07T00:00:00"/>
    <s v="DP3Q603"/>
    <x v="7"/>
    <s v="Bbest@gmail.com"/>
    <s v="Female"/>
    <s v="PVC2023125"/>
    <s v="Premium"/>
    <n v="28"/>
    <s v="ADULT"/>
    <s v="UNITED BANK FOR AFRICA"/>
    <s v="Over The Counter"/>
    <s v="DP3S578"/>
    <n v="46138"/>
  </r>
  <r>
    <s v="October"/>
    <d v="2022-10-07T00:00:00"/>
    <s v="DP2U121"/>
    <x v="20"/>
    <s v="Tperkins@coriftech.com"/>
    <s v="Female"/>
    <s v="PVC2023176"/>
    <s v="Standard"/>
    <n v="73"/>
    <s v="OLD CITIZEN"/>
    <s v="STANDARD CHARTERED"/>
    <s v="Partner Agent"/>
    <s v="DP3A560"/>
    <n v="74861"/>
  </r>
  <r>
    <s v="October"/>
    <d v="2022-10-08T00:00:00"/>
    <s v="DP2N276"/>
    <x v="35"/>
    <s v="Mcortez@coriftech.com"/>
    <s v="Female"/>
    <s v="PVC2023121"/>
    <s v="Gold"/>
    <n v="26"/>
    <s v="ADULT"/>
    <s v="UNITED BANK FOR AFRICA"/>
    <s v="Over The Counter"/>
    <s v="DP3K570"/>
    <n v="86372"/>
  </r>
  <r>
    <s v="October"/>
    <d v="2022-10-10T00:00:00"/>
    <s v="DP3N573"/>
    <x v="22"/>
    <s v="Tabbott@coriftech.com"/>
    <s v="Male"/>
    <s v="PVC2023116"/>
    <s v="Standard"/>
    <n v="67"/>
    <s v="OLD CITIZEN"/>
    <s v="UNITED BANK FOR AFRICA"/>
    <s v="USSD"/>
    <s v="DP2S227"/>
    <n v="173520"/>
  </r>
  <r>
    <s v="October"/>
    <d v="2022-10-11T00:00:00"/>
    <s v="DP3T552"/>
    <x v="3"/>
    <s v="Balexander@ymail.com"/>
    <s v="Male"/>
    <s v="PVC2023113"/>
    <s v="Premium"/>
    <n v="61"/>
    <s v="OLD CITIZEN"/>
    <s v="UNITED BANK FOR AFRICA"/>
    <s v="Partner Agent"/>
    <s v="DP3W474"/>
    <n v="156112"/>
  </r>
  <r>
    <s v="October"/>
    <d v="2022-10-11T00:00:00"/>
    <s v="DP3P602"/>
    <x v="25"/>
    <s v="Achang@gmail.com"/>
    <s v="Female"/>
    <s v="PVC2023110"/>
    <s v="Premium"/>
    <n v="76"/>
    <s v="OLD CITIZEN"/>
    <s v="ZENITH BANK"/>
    <s v="Mobile Transfer"/>
    <s v="DP3V392"/>
    <n v="118604"/>
  </r>
  <r>
    <s v="October"/>
    <d v="2022-10-11T00:00:00"/>
    <s v="DP3C481"/>
    <x v="8"/>
    <s v="Oduke@coriftech.com"/>
    <s v="Male"/>
    <s v="PVC2023108"/>
    <s v="Standard"/>
    <n v="48"/>
    <s v="SENIOR CITIZEN"/>
    <s v="FIRST BANK"/>
    <s v="USSD"/>
    <s v="DP3N330"/>
    <n v="45389"/>
  </r>
  <r>
    <s v="October"/>
    <d v="2022-10-11T00:00:00"/>
    <s v="DP3P548"/>
    <x v="4"/>
    <s v="Uadams@gmail.com"/>
    <s v="Female"/>
    <s v="PVC2023169"/>
    <s v="Standard"/>
    <n v="48"/>
    <s v="SENIOR CITIZEN"/>
    <s v="UNION BANK"/>
    <s v="Over The Counter"/>
    <s v="DP3Z340"/>
    <n v="142406"/>
  </r>
  <r>
    <s v="October"/>
    <d v="2022-10-12T00:00:00"/>
    <s v="DP3B588"/>
    <x v="5"/>
    <s v="Ogilbert@gmail.com"/>
    <s v="Male"/>
    <s v="PVC2023179"/>
    <s v="Standard"/>
    <n v="22"/>
    <s v="ADULT"/>
    <s v="ZENITH BANK"/>
    <s v="USSD"/>
    <s v="DP3I325"/>
    <n v="115552"/>
  </r>
  <r>
    <s v="October"/>
    <d v="2022-10-14T00:00:00"/>
    <s v="DP2E294"/>
    <x v="79"/>
    <s v="Amcconnell@coriftech.com"/>
    <s v="Female"/>
    <s v="PVC2023168"/>
    <s v="Standard"/>
    <n v="32"/>
    <s v="ADULT"/>
    <s v="UNION BANK"/>
    <s v="Online Banking"/>
    <s v="DP3E483"/>
    <n v="50091"/>
  </r>
  <r>
    <s v="October"/>
    <d v="2022-10-15T00:00:00"/>
    <s v="DP3B453"/>
    <x v="79"/>
    <s v="Amcconnell@coriftech.com"/>
    <s v="Female"/>
    <s v="PVC2023168"/>
    <s v="Standard"/>
    <n v="32"/>
    <s v="ADULT"/>
    <s v="GTBANK PLC"/>
    <s v="Partner Agent"/>
    <s v="DP2J299"/>
    <n v="144867"/>
  </r>
  <r>
    <s v="October"/>
    <d v="2022-10-16T00:00:00"/>
    <s v="DP2D104"/>
    <x v="8"/>
    <s v="Oduke@coriftech.com"/>
    <s v="Male"/>
    <s v="PVC2023108"/>
    <s v="Standard"/>
    <n v="48"/>
    <s v="SENIOR CITIZEN"/>
    <s v="UNION BANK"/>
    <s v="Partner Agent"/>
    <s v="DP2N141"/>
    <n v="156430"/>
  </r>
  <r>
    <s v="October"/>
    <d v="2022-10-16T00:00:00"/>
    <s v="DP2P224"/>
    <x v="19"/>
    <s v="Bnankam@coriftech.com"/>
    <s v="Male"/>
    <s v="PVC2023143"/>
    <s v="Gold"/>
    <n v="64"/>
    <s v="OLD CITIZEN"/>
    <s v="UNITED BANK FOR AFRICA"/>
    <s v="Partner Agent"/>
    <s v="DP2R226"/>
    <n v="149850"/>
  </r>
  <r>
    <s v="October"/>
    <d v="2022-10-17T00:00:00"/>
    <s v="DP2V230"/>
    <x v="32"/>
    <s v="Mselhorst@gmail.com"/>
    <s v="Female"/>
    <s v="PVC2023115"/>
    <s v="Premium"/>
    <n v="68"/>
    <s v="OLD CITIZEN"/>
    <s v="FIRST BANK"/>
    <s v="Partner Agent"/>
    <s v="DP3K354"/>
    <n v="185237"/>
  </r>
  <r>
    <s v="October"/>
    <d v="2022-10-17T00:00:00"/>
    <s v="DP3C454"/>
    <x v="68"/>
    <s v="Tdennis@gmail.com"/>
    <s v="Male"/>
    <s v="PVC2023133"/>
    <s v="Premium"/>
    <n v="37"/>
    <s v="ADULT"/>
    <s v="FIDELITY BANK"/>
    <s v="Over The Counter"/>
    <s v="DP3C481"/>
    <n v="110634"/>
  </r>
  <r>
    <s v="October"/>
    <d v="2022-10-19T00:00:00"/>
    <s v="DP2Q252"/>
    <x v="66"/>
    <s v="Ocanini@coriftech.com"/>
    <s v="Female"/>
    <s v="PVC2023106"/>
    <s v="Gold"/>
    <n v="45"/>
    <s v="SENIOR CITIZEN"/>
    <s v="UNITED BANK FOR AFRICA"/>
    <s v="USSD"/>
    <s v="DP3E537"/>
    <n v="77927"/>
  </r>
  <r>
    <s v="October"/>
    <d v="2022-10-19T00:00:00"/>
    <s v="DP2Y126"/>
    <x v="13"/>
    <s v="Tknapp@ymail.com"/>
    <s v="Female"/>
    <s v="PVC2023187"/>
    <s v="Premium"/>
    <n v="61"/>
    <s v="OLD CITIZEN"/>
    <s v="STANDARD CHARTERED"/>
    <s v="USSD"/>
    <s v="DP3G593"/>
    <n v="162033"/>
  </r>
  <r>
    <s v="October"/>
    <d v="2022-10-19T00:00:00"/>
    <s v="DP2X206"/>
    <x v="17"/>
    <s v="Awilliams@coriftech.com"/>
    <s v="Female"/>
    <s v="PVC2023163"/>
    <s v="Gold"/>
    <n v="25"/>
    <s v="ADULT"/>
    <s v="STANDARD CHARTERED"/>
    <s v="Over The Counter"/>
    <s v="DP3S524"/>
    <n v="61502"/>
  </r>
  <r>
    <s v="October"/>
    <d v="2022-10-20T00:00:00"/>
    <s v="DP2F160"/>
    <x v="82"/>
    <s v="Sthomas@coriftech.com"/>
    <s v="Male"/>
    <s v="PVC2023177"/>
    <s v="Standard"/>
    <n v="28"/>
    <s v="ADULT"/>
    <s v="UNITED BANK FOR AFRICA"/>
    <s v="Over The Counter"/>
    <s v="DP3A371"/>
    <n v="110170"/>
  </r>
  <r>
    <s v="October"/>
    <d v="2022-10-20T00:00:00"/>
    <s v="DP2U175"/>
    <x v="6"/>
    <s v="Fguzzo@ymail.com"/>
    <s v="Male"/>
    <s v="PVC2023153"/>
    <s v="Standard"/>
    <n v="61"/>
    <s v="OLD CITIZEN"/>
    <s v="ACCESS BANK"/>
    <s v="Partner Agent"/>
    <s v="DP3R577"/>
    <n v="113224"/>
  </r>
  <r>
    <s v="October"/>
    <d v="2022-10-20T00:00:00"/>
    <s v="DP3F349"/>
    <x v="16"/>
    <s v="Lkey@coriftech.com"/>
    <s v="Female"/>
    <s v="PVC2023130"/>
    <s v="Premium"/>
    <n v="31"/>
    <s v="ADULT"/>
    <s v="FIRST BANK"/>
    <s v="USSD"/>
    <s v="DP2Z235"/>
    <n v="155786"/>
  </r>
  <r>
    <s v="October"/>
    <d v="2022-10-22T00:00:00"/>
    <s v="DP2X260"/>
    <x v="19"/>
    <s v="Bnankam@coriftech.com"/>
    <s v="Male"/>
    <s v="PVC2023143"/>
    <s v="Gold"/>
    <n v="64"/>
    <s v="OLD CITIZEN"/>
    <s v="ACCESS BANK"/>
    <s v="USSD"/>
    <s v="DP3B480"/>
    <n v="129002"/>
  </r>
  <r>
    <s v="October"/>
    <d v="2022-10-23T00:00:00"/>
    <s v="DP2D185"/>
    <x v="94"/>
    <s v="Jmccarty@gmail.com"/>
    <s v="Male"/>
    <s v="PVC2023120"/>
    <s v="Standard"/>
    <n v="76"/>
    <s v="OLD CITIZEN"/>
    <s v="STANBIC IBTC BANK"/>
    <s v="Partner Agent"/>
    <s v="DP2K111"/>
    <n v="158871"/>
  </r>
  <r>
    <s v="October"/>
    <d v="2022-10-26T00:00:00"/>
    <s v="DP3P494"/>
    <x v="41"/>
    <s v="Lgilbert@coriftech.com"/>
    <s v="Male"/>
    <s v="PVC2023186"/>
    <s v="Standard"/>
    <n v="40"/>
    <s v="ADULT"/>
    <s v="FIRST BANK"/>
    <s v="USSD"/>
    <s v="DP3A425"/>
    <n v="125352"/>
  </r>
  <r>
    <s v="October"/>
    <d v="2022-10-27T00:00:00"/>
    <s v="DP3A425"/>
    <x v="96"/>
    <s v="Nwalton@gmail.com"/>
    <s v="Male"/>
    <s v="PVC2023114"/>
    <s v="Gold"/>
    <n v="44"/>
    <s v="SENIOR CITIZEN"/>
    <s v="UNION BANK"/>
    <s v="Partner Agent"/>
    <s v="DP3Z478"/>
    <n v="39210"/>
  </r>
  <r>
    <s v="October"/>
    <d v="2022-10-30T00:00:00"/>
    <s v="DP3Y585"/>
    <x v="66"/>
    <s v="Ocanini@coriftech.com"/>
    <s v="Female"/>
    <s v="PVC2023106"/>
    <s v="Gold"/>
    <n v="45"/>
    <s v="SENIOR CITIZEN"/>
    <s v="STANBIC IBTC BANK"/>
    <s v="Over The Counter"/>
    <s v="DP2H135"/>
    <n v="60880"/>
  </r>
  <r>
    <s v="October"/>
    <d v="2022-10-31T00:00:00"/>
    <s v="DP3B426"/>
    <x v="78"/>
    <s v="Ijones@ymail.com"/>
    <s v="Male"/>
    <s v="PVC2023171"/>
    <s v="Premium"/>
    <n v="24"/>
    <s v="ADULT"/>
    <s v="FIDELITY BANK"/>
    <s v="Mobile Transfer"/>
    <s v="DP3R415"/>
    <n v="52402"/>
  </r>
  <r>
    <s v="October"/>
    <d v="2022-10-31T00:00:00"/>
    <s v="DP3K327"/>
    <x v="26"/>
    <s v="Cmiller@gmail.com"/>
    <s v="Female"/>
    <s v="PVC2023138"/>
    <s v="Premium"/>
    <n v="66"/>
    <s v="OLD CITIZEN"/>
    <s v="WEMA BANK"/>
    <s v="USSD"/>
    <s v="DP3V581"/>
    <n v="45505"/>
  </r>
  <r>
    <s v="November"/>
    <d v="2022-11-01T00:00:00"/>
    <s v="DP3M410"/>
    <x v="24"/>
    <s v="Afitzpatrick@gmail.com"/>
    <s v="Male"/>
    <s v="PVC2023148"/>
    <s v="Standard"/>
    <n v="59"/>
    <s v="SENIOR CITIZEN"/>
    <s v="UNITED BANK FOR AFRICA"/>
    <s v="Over The Counter"/>
    <s v="DP2W231"/>
    <n v="45602"/>
  </r>
  <r>
    <s v="November"/>
    <d v="2022-11-01T00:00:00"/>
    <s v="DP2L112"/>
    <x v="36"/>
    <s v="Amacdonald@gmail.com"/>
    <s v="Male"/>
    <s v="PVC2023150"/>
    <s v="Gold"/>
    <n v="29"/>
    <s v="ADULT"/>
    <s v="FIRST BANK"/>
    <s v="Online Banking"/>
    <s v="DP2D131"/>
    <n v="161178"/>
  </r>
  <r>
    <s v="November"/>
    <d v="2022-11-03T00:00:00"/>
    <s v="DP2I109"/>
    <x v="92"/>
    <s v="Ayancer@coriftech.com"/>
    <s v="Female"/>
    <s v="PVC2023175"/>
    <s v="Standard"/>
    <n v="22"/>
    <s v="ADULT"/>
    <s v="STANDARD CHARTERED"/>
    <s v="Mobile Transfer"/>
    <s v="DP3J353"/>
    <n v="72614"/>
  </r>
  <r>
    <s v="November"/>
    <d v="2022-11-04T00:00:00"/>
    <s v="DP2R172"/>
    <x v="49"/>
    <s v="Aperkins@coriftech.com"/>
    <s v="Female"/>
    <s v="PVC2023135"/>
    <s v="Standard"/>
    <n v="23"/>
    <s v="ADULT"/>
    <s v="FIDELITY BANK"/>
    <s v="USSD"/>
    <s v="DP3G377"/>
    <n v="188994"/>
  </r>
  <r>
    <s v="November"/>
    <d v="2022-11-04T00:00:00"/>
    <s v="DP3N330"/>
    <x v="30"/>
    <s v="Logbonna@ymail.com"/>
    <s v="Male"/>
    <s v="PVC2023111"/>
    <s v="Premium"/>
    <n v="46"/>
    <s v="SENIOR CITIZEN"/>
    <s v="UNION BANK"/>
    <s v="Partner Agent"/>
    <s v="DP3L544"/>
    <n v="82893"/>
  </r>
  <r>
    <s v="November"/>
    <d v="2022-11-05T00:00:00"/>
    <s v="DP3H513"/>
    <x v="59"/>
    <s v="Sorr@gmail.com"/>
    <s v="Female"/>
    <s v="PVC2023164"/>
    <s v="Gold"/>
    <n v="40"/>
    <s v="ADULT"/>
    <s v="UNITED BANK FOR AFRICA"/>
    <s v="Over The Counter"/>
    <s v="DP2E240"/>
    <n v="140795"/>
  </r>
  <r>
    <s v="November"/>
    <d v="2022-11-05T00:00:00"/>
    <s v="DP2C103"/>
    <x v="27"/>
    <s v="Okidd@gmail.com"/>
    <s v="Male"/>
    <s v="PVC2023134"/>
    <s v="Premium"/>
    <n v="68"/>
    <s v="OLD CITIZEN"/>
    <s v="STANBIC IBTC BANK"/>
    <s v="USSD"/>
    <s v="DP3P440"/>
    <n v="109991"/>
  </r>
  <r>
    <s v="November"/>
    <d v="2022-11-05T00:00:00"/>
    <s v="DP3Y477"/>
    <x v="39"/>
    <s v="Oferris@gmail.com"/>
    <s v="Female"/>
    <s v="PVC2023185"/>
    <s v="Standard"/>
    <n v="25"/>
    <s v="ADULT"/>
    <s v="ZENITH BANK"/>
    <s v="Partner Agent"/>
    <s v="DP3Z343"/>
    <n v="52909"/>
  </r>
  <r>
    <s v="November"/>
    <d v="2022-11-06T00:00:00"/>
    <s v="DP3U499"/>
    <x v="52"/>
    <s v="Kjimenez@ymail.com"/>
    <s v="Female"/>
    <s v="PVC2023165"/>
    <s v="Standard"/>
    <n v="35"/>
    <s v="ADULT"/>
    <s v="STANBIC IBTC BANK"/>
    <s v="Mobile Transfer"/>
    <s v="DP3Q603"/>
    <n v="46980"/>
  </r>
  <r>
    <s v="November"/>
    <d v="2022-11-06T00:00:00"/>
    <s v="DP2X287"/>
    <x v="56"/>
    <s v="Aezichi@coriftech.com"/>
    <s v="Male"/>
    <s v="PVC2023131"/>
    <s v="Standard"/>
    <n v="40"/>
    <s v="ADULT"/>
    <s v="STANDARD CHARTERED"/>
    <s v="USSD"/>
    <s v="DP3J596"/>
    <n v="42173"/>
  </r>
  <r>
    <s v="November"/>
    <d v="2022-11-06T00:00:00"/>
    <s v="DP3N600"/>
    <x v="56"/>
    <s v="Aezichi@coriftech.com"/>
    <s v="Male"/>
    <s v="PVC2023131"/>
    <s v="Standard"/>
    <n v="40"/>
    <s v="ADULT"/>
    <s v="GTBANK PLC"/>
    <s v="USSD"/>
    <s v="DP3L571"/>
    <n v="72529"/>
  </r>
  <r>
    <s v="November"/>
    <d v="2022-11-07T00:00:00"/>
    <s v="DP2E132"/>
    <x v="9"/>
    <s v="Omcclure@gmail.com"/>
    <s v="Male"/>
    <s v="PVC2023154"/>
    <s v="Standard"/>
    <n v="60"/>
    <s v="SENIOR CITIZEN"/>
    <s v="UNION BANK"/>
    <s v="Mobile Transfer"/>
    <s v="DP3E321"/>
    <n v="42632"/>
  </r>
  <r>
    <s v="November"/>
    <d v="2022-11-07T00:00:00"/>
    <s v="DP3Z394"/>
    <x v="18"/>
    <s v="Hpanovsky@ymail.com"/>
    <s v="Male"/>
    <s v="PVC2023182"/>
    <s v="Standard"/>
    <n v="59"/>
    <s v="SENIOR CITIZEN"/>
    <s v="FIRST BANK"/>
    <s v="USSD"/>
    <s v="DP2B291"/>
    <n v="34297"/>
  </r>
  <r>
    <s v="November"/>
    <d v="2022-11-08T00:00:00"/>
    <s v="DP3P386"/>
    <x v="31"/>
    <s v="Fjordan@coriftech.com"/>
    <s v="Female"/>
    <s v="PVC2023132"/>
    <s v="Standard"/>
    <n v="68"/>
    <s v="OLD CITIZEN"/>
    <s v="UNION BANK"/>
    <s v="Partner Agent"/>
    <s v="DP3C427"/>
    <n v="172040"/>
  </r>
  <r>
    <s v="November"/>
    <d v="2022-11-08T00:00:00"/>
    <s v="DP3N519"/>
    <x v="28"/>
    <s v="Aezichi@gmail.com"/>
    <s v="Female"/>
    <s v="PVC2023194"/>
    <s v="Standard"/>
    <n v="37"/>
    <s v="ADULT"/>
    <s v="STANDARD CHARTERED"/>
    <s v="Partner Agent"/>
    <s v="DP2Y180"/>
    <n v="128691"/>
  </r>
  <r>
    <s v="November"/>
    <d v="2022-11-09T00:00:00"/>
    <s v="DP3S524"/>
    <x v="54"/>
    <s v="Ojohnson@coriftech.com"/>
    <s v="Female"/>
    <s v="PVC2023122"/>
    <s v="Gold"/>
    <n v="45"/>
    <s v="SENIOR CITIZEN"/>
    <s v="UNION BANK"/>
    <s v="USSD"/>
    <s v="DP3F511"/>
    <n v="95348"/>
  </r>
  <r>
    <s v="November"/>
    <d v="2022-11-10T00:00:00"/>
    <s v="DP2R253"/>
    <x v="85"/>
    <s v="Rjones@gmail.com"/>
    <s v="Female"/>
    <s v="PVC2023140"/>
    <s v="Standard"/>
    <n v="51"/>
    <s v="SENIOR CITIZEN"/>
    <s v="UNION BANK"/>
    <s v="Mobile Transfer"/>
    <s v="DP2Q117"/>
    <n v="59918"/>
  </r>
  <r>
    <s v="November"/>
    <d v="2022-11-11T00:00:00"/>
    <s v="DP2G242"/>
    <x v="97"/>
    <s v="Gapple@ymail.com"/>
    <s v="Male"/>
    <s v="PVC2023167"/>
    <s v="Premium"/>
    <n v="41"/>
    <s v="SENIOR CITIZEN"/>
    <s v="FIRST BANK"/>
    <s v="Online Banking"/>
    <s v="DP2O142"/>
    <n v="35878"/>
  </r>
  <r>
    <s v="November"/>
    <d v="2022-11-11T00:00:00"/>
    <s v="DP2Q225"/>
    <x v="87"/>
    <s v="Emercer@ymail.com"/>
    <s v="Female"/>
    <s v="PVC2023159"/>
    <s v="Standard"/>
    <n v="24"/>
    <s v="ADULT"/>
    <s v="UNION BANK"/>
    <s v="USSD"/>
    <s v="DP3D401"/>
    <n v="57710"/>
  </r>
  <r>
    <s v="November"/>
    <d v="2022-11-12T00:00:00"/>
    <s v="DP2O223"/>
    <x v="24"/>
    <s v="Afitzpatrick@gmail.com"/>
    <s v="Male"/>
    <s v="PVC2023148"/>
    <s v="Standard"/>
    <n v="59"/>
    <s v="SENIOR CITIZEN"/>
    <s v="GTBANK PLC"/>
    <s v="Partner Agent"/>
    <s v="DP3A398"/>
    <n v="40531"/>
  </r>
  <r>
    <s v="November"/>
    <d v="2022-11-13T00:00:00"/>
    <s v="DP3V311"/>
    <x v="71"/>
    <s v="Ppanovsky@coriftech.com"/>
    <s v="Female"/>
    <s v="PVC2023146"/>
    <s v="Standard"/>
    <n v="59"/>
    <s v="SENIOR CITIZEN"/>
    <s v="GTBANK PLC"/>
    <s v="Partner Agent"/>
    <s v="DP3M329"/>
    <n v="137692"/>
  </r>
  <r>
    <s v="November"/>
    <d v="2022-11-16T00:00:00"/>
    <s v="DP3K543"/>
    <x v="46"/>
    <s v="Nyancer@gmail.com"/>
    <s v="Female"/>
    <s v="PVC2023129"/>
    <s v="Gold"/>
    <n v="29"/>
    <s v="ADULT"/>
    <s v="WEMA BANK"/>
    <s v="USSD"/>
    <s v="DP3X449"/>
    <n v="177379"/>
  </r>
  <r>
    <s v="November"/>
    <d v="2022-11-16T00:00:00"/>
    <s v="DP3A587"/>
    <x v="25"/>
    <s v="Achang@gmail.com"/>
    <s v="Female"/>
    <s v="PVC2023110"/>
    <s v="Premium"/>
    <n v="76"/>
    <s v="OLD CITIZEN"/>
    <s v="FIRST BANK"/>
    <s v="USSD"/>
    <s v="DP2L139"/>
    <n v="30953"/>
  </r>
  <r>
    <s v="November"/>
    <d v="2022-11-17T00:00:00"/>
    <s v="DP3I433"/>
    <x v="79"/>
    <s v="Amcconnell@coriftech.com"/>
    <s v="Female"/>
    <s v="PVC2023168"/>
    <s v="Standard"/>
    <n v="32"/>
    <s v="ADULT"/>
    <s v="FIRST BANK"/>
    <s v="USSD"/>
    <s v="DP2V284"/>
    <n v="21023"/>
  </r>
  <r>
    <s v="November"/>
    <d v="2022-11-17T00:00:00"/>
    <s v="DP2Z286"/>
    <x v="93"/>
    <s v="Jcallistus@gmail.com"/>
    <s v="Female"/>
    <s v="PVC2023156"/>
    <s v="Standard"/>
    <n v="36"/>
    <s v="ADULT"/>
    <s v="UNITED BANK FOR AFRICA"/>
    <s v="Over The Counter"/>
    <s v="DP2S200"/>
    <n v="38608"/>
  </r>
  <r>
    <s v="November"/>
    <d v="2022-11-17T00:00:00"/>
    <s v="DP3O574"/>
    <x v="76"/>
    <s v="Swarner@gmail.com"/>
    <s v="Female"/>
    <s v="PVC2023151"/>
    <s v="Gold"/>
    <n v="72"/>
    <s v="OLD CITIZEN"/>
    <s v="UNITED BANK FOR AFRICA"/>
    <s v="Online Banking"/>
    <s v="DP3F430"/>
    <n v="21190"/>
  </r>
  <r>
    <s v="November"/>
    <d v="2022-11-18T00:00:00"/>
    <s v="DP3G593"/>
    <x v="87"/>
    <s v="Emercer@ymail.com"/>
    <s v="Female"/>
    <s v="PVC2023159"/>
    <s v="Standard"/>
    <n v="24"/>
    <s v="ADULT"/>
    <s v="ACCESS BANK"/>
    <s v="Over The Counter"/>
    <s v="DP3C400"/>
    <n v="47711"/>
  </r>
  <r>
    <s v="November"/>
    <d v="2022-11-18T00:00:00"/>
    <s v="DP2J110"/>
    <x v="53"/>
    <s v="Ematt@gmail.com"/>
    <s v="Male"/>
    <s v="PVC2023104"/>
    <s v="Standard"/>
    <n v="19"/>
    <s v="TEEN"/>
    <s v="UNITED BANK FOR AFRICA"/>
    <s v="Mobile Transfer"/>
    <s v="DP3X557"/>
    <n v="54096"/>
  </r>
  <r>
    <s v="November"/>
    <d v="2022-11-19T00:00:00"/>
    <s v="DP3M437"/>
    <x v="47"/>
    <s v="Tmicheal@coriftech.com"/>
    <s v="Male"/>
    <s v="PVC2023188"/>
    <s v="Standard"/>
    <n v="46"/>
    <s v="SENIOR CITIZEN"/>
    <s v="GTBANK PLC"/>
    <s v="USSD"/>
    <s v="DP2K165"/>
    <n v="33144"/>
  </r>
  <r>
    <s v="November"/>
    <d v="2022-11-19T00:00:00"/>
    <s v="DP3M491"/>
    <x v="43"/>
    <s v="Pferris@gmail.com"/>
    <s v="Female"/>
    <s v="PVC2023181"/>
    <s v="Premium"/>
    <n v="48"/>
    <s v="SENIOR CITIZEN"/>
    <s v="UNITED BANK FOR AFRICA"/>
    <s v="Online Banking"/>
    <s v="DP3X341"/>
    <n v="123772"/>
  </r>
  <r>
    <s v="November"/>
    <d v="2022-11-19T00:00:00"/>
    <s v="DP2B129"/>
    <x v="50"/>
    <s v="Jmckinney@coriftech.com"/>
    <s v="Female"/>
    <s v="PVC2023107"/>
    <s v="Gold"/>
    <n v="31"/>
    <s v="ADULT"/>
    <s v="FIRST BANK"/>
    <s v="Over The Counter"/>
    <s v="DP3D374"/>
    <n v="168137"/>
  </r>
  <r>
    <s v="November"/>
    <d v="2022-11-23T00:00:00"/>
    <s v="DP3C400"/>
    <x v="21"/>
    <s v="Abarnes@gmail.com"/>
    <s v="Female"/>
    <s v="PVC2023136"/>
    <s v="Premium"/>
    <n v="58"/>
    <s v="SENIOR CITIZEN"/>
    <s v="FIRST BANK"/>
    <s v="Mobile Transfer"/>
    <s v="DP3H405"/>
    <n v="9671"/>
  </r>
  <r>
    <s v="November"/>
    <d v="2022-11-23T00:00:00"/>
    <s v="DP2T228"/>
    <x v="8"/>
    <s v="Oduke@coriftech.com"/>
    <s v="Male"/>
    <s v="PVC2023108"/>
    <s v="Standard"/>
    <n v="48"/>
    <s v="SENIOR CITIZEN"/>
    <s v="ZENITH BANK"/>
    <s v="Online Banking"/>
    <s v="DP3U337"/>
    <n v="136334"/>
  </r>
  <r>
    <s v="November"/>
    <d v="2022-11-24T00:00:00"/>
    <s v="DP3J488"/>
    <x v="14"/>
    <s v="Dcobb@coriftech.com"/>
    <s v="Male"/>
    <s v="PVC2023102"/>
    <s v="Gold"/>
    <n v="30"/>
    <s v="ADULT"/>
    <s v="UNITED BANK FOR AFRICA"/>
    <s v="USSD"/>
    <s v="DP3V365"/>
    <n v="39852"/>
  </r>
  <r>
    <s v="November"/>
    <d v="2022-11-24T00:00:00"/>
    <s v="DP2H108"/>
    <x v="95"/>
    <s v="Sherriot@gmail.com"/>
    <s v="Male"/>
    <s v="PVC2023155"/>
    <s v="Standard"/>
    <n v="34"/>
    <s v="ADULT"/>
    <s v="UNION BANK"/>
    <s v="Partner Agent"/>
    <s v="DP3G431"/>
    <n v="168443"/>
  </r>
  <r>
    <s v="November"/>
    <d v="2022-11-25T00:00:00"/>
    <s v="DP3D590"/>
    <x v="57"/>
    <s v="Avang@coriftech.com"/>
    <s v="Male"/>
    <s v="PVC2023199"/>
    <s v="Standard"/>
    <n v="44"/>
    <s v="SENIOR CITIZEN"/>
    <s v="WEMA BANK"/>
    <s v="Online Banking"/>
    <s v="DP3K381"/>
    <n v="157051"/>
  </r>
  <r>
    <s v="November"/>
    <d v="2022-11-25T00:00:00"/>
    <s v="DP3H378"/>
    <x v="50"/>
    <s v="Jmckinney@coriftech.com"/>
    <s v="Female"/>
    <s v="PVC2023107"/>
    <s v="Gold"/>
    <n v="31"/>
    <s v="ADULT"/>
    <s v="FIRST BANK"/>
    <s v="Mobile Transfer"/>
    <s v="DP3D320"/>
    <n v="113871"/>
  </r>
  <r>
    <s v="November"/>
    <d v="2022-11-28T00:00:00"/>
    <s v="DP3R307"/>
    <x v="51"/>
    <s v="Asolis@ymail.com"/>
    <s v="Female"/>
    <s v="PVC2023124"/>
    <s v="Standard"/>
    <n v="29"/>
    <s v="ADULT"/>
    <s v="FIRST BANK"/>
    <s v="USSD"/>
    <s v="DP2N195"/>
    <n v="42414"/>
  </r>
  <r>
    <s v="November"/>
    <d v="2022-11-30T00:00:00"/>
    <s v="DP3Z502"/>
    <x v="72"/>
    <s v="Fadams@ymail.com"/>
    <s v="Male"/>
    <s v="PVC2023172"/>
    <s v="Standard"/>
    <n v="50"/>
    <s v="SENIOR CITIZEN"/>
    <s v="UNION BANK"/>
    <s v="USSD"/>
    <s v="DP3T417"/>
    <n v="128189"/>
  </r>
  <r>
    <s v="December"/>
    <d v="2022-12-01T00:00:00"/>
    <s v="DP2Y234"/>
    <x v="6"/>
    <s v="Fguzzo@ymail.com"/>
    <s v="Male"/>
    <s v="PVC2023153"/>
    <s v="Standard"/>
    <n v="61"/>
    <s v="OLD CITIZEN"/>
    <s v="GTBANK PLC"/>
    <s v="Mobile Transfer"/>
    <s v="DP2S146"/>
    <n v="135386"/>
  </r>
  <r>
    <s v="December"/>
    <d v="2022-12-02T00:00:00"/>
    <s v="DP2G215"/>
    <x v="87"/>
    <s v="Emercer@ymail.com"/>
    <s v="Female"/>
    <s v="PVC2023159"/>
    <s v="Standard"/>
    <n v="24"/>
    <s v="ADULT"/>
    <s v="FIRST BANK"/>
    <s v="Mobile Transfer"/>
    <s v="DP3A533"/>
    <n v="138026"/>
  </r>
  <r>
    <s v="December"/>
    <d v="2022-12-02T00:00:00"/>
    <s v="DP3L328"/>
    <x v="64"/>
    <s v="Ajacob@ymail.com"/>
    <s v="Male"/>
    <s v="PVC2023142"/>
    <s v="Gold"/>
    <n v="21"/>
    <s v="ADULT"/>
    <s v="UNION BANK"/>
    <s v="USSD"/>
    <s v="DP3P548"/>
    <n v="189933"/>
  </r>
  <r>
    <s v="December"/>
    <d v="2022-12-04T00:00:00"/>
    <s v="DP3G377"/>
    <x v="41"/>
    <s v="Lgilbert@coriftech.com"/>
    <s v="Male"/>
    <s v="PVC2023186"/>
    <s v="Standard"/>
    <n v="40"/>
    <s v="ADULT"/>
    <s v="FIDELITY BANK"/>
    <s v="Partner Agent"/>
    <s v="DP3G404"/>
    <n v="55674"/>
  </r>
  <r>
    <s v="December"/>
    <d v="2022-12-04T00:00:00"/>
    <s v="DP3U445"/>
    <x v="38"/>
    <s v="Atillman@ymail.com"/>
    <s v="Male"/>
    <s v="PVC2023119"/>
    <s v="Gold"/>
    <n v="63"/>
    <s v="OLD CITIZEN"/>
    <s v="ZENITH BANK"/>
    <s v="Online Banking"/>
    <s v="DP3A317"/>
    <n v="157181"/>
  </r>
  <r>
    <s v="December"/>
    <d v="2022-12-05T00:00:00"/>
    <s v="DP2O115"/>
    <x v="67"/>
    <s v="Iburris@coriftech.com"/>
    <s v="Female"/>
    <s v="PVC2023128"/>
    <s v="Gold"/>
    <n v="50"/>
    <s v="SENIOR CITIZEN"/>
    <s v="UNION BANK"/>
    <s v="Online Banking"/>
    <s v="DP3U364"/>
    <n v="74208"/>
  </r>
  <r>
    <s v="December"/>
    <d v="2022-12-07T00:00:00"/>
    <s v="DP3R388"/>
    <x v="58"/>
    <s v="Nmack@gmail.com"/>
    <s v="Male"/>
    <s v="PVC2023139"/>
    <s v="Gold"/>
    <n v="64"/>
    <s v="OLD CITIZEN"/>
    <s v="FIRST BANK"/>
    <s v="Partner Agent"/>
    <s v="DP3R307"/>
    <n v="84576"/>
  </r>
  <r>
    <s v="December"/>
    <d v="2022-12-07T00:00:00"/>
    <s v="DP2P170"/>
    <x v="85"/>
    <s v="Rjones@gmail.com"/>
    <s v="Female"/>
    <s v="PVC2023140"/>
    <s v="Standard"/>
    <n v="51"/>
    <s v="SENIOR CITIZEN"/>
    <s v="UNION BANK"/>
    <s v="Partner Agent"/>
    <s v="DP2O115"/>
    <n v="56139"/>
  </r>
  <r>
    <s v="December"/>
    <d v="2022-12-07T00:00:00"/>
    <s v="DP2Q279"/>
    <x v="4"/>
    <s v="Uadams@gmail.com"/>
    <s v="Female"/>
    <s v="PVC2023169"/>
    <s v="Standard"/>
    <n v="48"/>
    <s v="SENIOR CITIZEN"/>
    <s v="UNITED BANK FOR AFRICA"/>
    <s v="Online Banking"/>
    <s v="DP2U121"/>
    <n v="133811"/>
  </r>
  <r>
    <s v="December"/>
    <d v="2022-12-07T00:00:00"/>
    <s v="DP3D563"/>
    <x v="50"/>
    <s v="Jmckinney@coriftech.com"/>
    <s v="Female"/>
    <s v="PVC2023107"/>
    <s v="Gold"/>
    <n v="31"/>
    <s v="ADULT"/>
    <s v="ZENITH BANK"/>
    <s v="Online Banking"/>
    <s v="DP2Q171"/>
    <n v="71611"/>
  </r>
  <r>
    <s v="December"/>
    <d v="2022-12-07T00:00:00"/>
    <s v="DP3Z583"/>
    <x v="48"/>
    <s v="Lporter@gmail.com"/>
    <s v="Female"/>
    <s v="PVC2023137"/>
    <s v="Gold"/>
    <n v="68"/>
    <s v="OLD CITIZEN"/>
    <s v="UNITED BANK FOR AFRICA"/>
    <s v="Partner Agent"/>
    <s v="DP3Z559"/>
    <n v="13536"/>
  </r>
  <r>
    <s v="December"/>
    <d v="2022-12-07T00:00:00"/>
    <s v="DP3B318"/>
    <x v="0"/>
    <s v="Umaddox@gmail.com"/>
    <s v="Male"/>
    <s v="PVC2023166"/>
    <s v="Standard"/>
    <n v="41"/>
    <s v="SENIOR CITIZEN"/>
    <s v="FIDELITY BANK"/>
    <s v="USSD"/>
    <s v="DP3N573"/>
    <n v="98784"/>
  </r>
  <r>
    <s v="December"/>
    <d v="2022-12-08T00:00:00"/>
    <s v="DP2K246"/>
    <x v="91"/>
    <s v="Tdouglas@gmail.com"/>
    <s v="Female"/>
    <s v="PVC2023160"/>
    <s v="Standard"/>
    <n v="50"/>
    <s v="SENIOR CITIZEN"/>
    <s v="UNITED BANK FOR AFRICA"/>
    <s v="Online Banking"/>
    <s v="DP3O331"/>
    <n v="62365"/>
  </r>
  <r>
    <s v="December"/>
    <d v="2022-12-08T00:00:00"/>
    <s v="DP2A290"/>
    <x v="89"/>
    <s v="Orod@coriftech.com"/>
    <s v="Female"/>
    <s v="PVC2023192"/>
    <s v="Standard"/>
    <n v="21"/>
    <s v="ADULT"/>
    <s v="FIRST BANK"/>
    <s v="USSD"/>
    <s v="DP2K273"/>
    <n v="183858"/>
  </r>
  <r>
    <s v="December"/>
    <d v="2022-12-08T00:00:00"/>
    <s v="DP2P278"/>
    <x v="26"/>
    <s v="Cmiller@gmail.com"/>
    <s v="Female"/>
    <s v="PVC2023138"/>
    <s v="Premium"/>
    <n v="66"/>
    <s v="OLD CITIZEN"/>
    <s v="ZENITH BANK"/>
    <s v="Online Banking"/>
    <s v="DP3T579"/>
    <n v="174578"/>
  </r>
  <r>
    <s v="December"/>
    <d v="2022-12-08T00:00:00"/>
    <s v="DP2L139"/>
    <x v="60"/>
    <s v="Ffelix@coriftech.com"/>
    <s v="Female"/>
    <s v="PVC2023145"/>
    <s v="Standard"/>
    <n v="65"/>
    <s v="OLD CITIZEN"/>
    <s v="STANDARD CHARTERED"/>
    <s v="USSD"/>
    <s v="DP3L382"/>
    <n v="55836"/>
  </r>
  <r>
    <s v="December"/>
    <d v="2022-12-09T00:00:00"/>
    <s v="DP3V581"/>
    <x v="29"/>
    <s v="Pdixon@gmail.com"/>
    <s v="Female"/>
    <s v="PVC2023152"/>
    <s v="Standard"/>
    <n v="34"/>
    <s v="ADULT"/>
    <s v="FIRST BANK"/>
    <s v="Mobile Transfer"/>
    <s v="DP2D158"/>
    <n v="79189"/>
  </r>
  <r>
    <s v="December"/>
    <d v="2022-12-10T00:00:00"/>
    <s v="DP2Z181"/>
    <x v="12"/>
    <s v="Epanovsky@gmail.com"/>
    <s v="Female"/>
    <s v="PVC2023198"/>
    <s v="Gold"/>
    <n v="19"/>
    <s v="TEEN"/>
    <s v="UNION BANK"/>
    <s v="Mobile Transfer"/>
    <s v="DP2H270"/>
    <n v="84357"/>
  </r>
  <r>
    <s v="December"/>
    <d v="2022-12-12T00:00:00"/>
    <s v="DP2A263"/>
    <x v="10"/>
    <s v="Bjuarez@coriftech.com"/>
    <s v="Male"/>
    <s v="PVC2023173"/>
    <s v="Gold"/>
    <n v="71"/>
    <s v="OLD CITIZEN"/>
    <s v="UNITED BANK FOR AFRICA"/>
    <s v="Partner Agent"/>
    <s v="DP3Q387"/>
    <n v="72293"/>
  </r>
  <r>
    <s v="December"/>
    <d v="2022-12-12T00:00:00"/>
    <s v="DP2V284"/>
    <x v="17"/>
    <s v="Awilliams@coriftech.com"/>
    <s v="Female"/>
    <s v="PVC2023163"/>
    <s v="Gold"/>
    <n v="25"/>
    <s v="ADULT"/>
    <s v="ACCESS BANK"/>
    <s v="Online Banking"/>
    <s v="DP2M140"/>
    <n v="52256"/>
  </r>
  <r>
    <s v="December"/>
    <d v="2022-12-12T00:00:00"/>
    <s v="DP3W501"/>
    <x v="51"/>
    <s v="Asolis@ymail.com"/>
    <s v="Female"/>
    <s v="PVC2023124"/>
    <s v="Standard"/>
    <n v="29"/>
    <s v="ADULT"/>
    <s v="FIRST BANK"/>
    <s v="Over The Counter"/>
    <s v="DP3J569"/>
    <n v="44520"/>
  </r>
  <r>
    <s v="December"/>
    <d v="2022-12-12T00:00:00"/>
    <s v="DP3V338"/>
    <x v="47"/>
    <s v="Tmicheal@coriftech.com"/>
    <s v="Male"/>
    <s v="PVC2023188"/>
    <s v="Standard"/>
    <n v="46"/>
    <s v="SENIOR CITIZEN"/>
    <s v="GTBANK PLC"/>
    <s v="Mobile Transfer"/>
    <s v="DP2R280"/>
    <n v="101184"/>
  </r>
  <r>
    <s v="December"/>
    <d v="2022-12-14T00:00:00"/>
    <s v="DP2K300"/>
    <x v="36"/>
    <s v="Amacdonald@gmail.com"/>
    <s v="Male"/>
    <s v="PVC2023150"/>
    <s v="Gold"/>
    <n v="29"/>
    <s v="ADULT"/>
    <s v="ACCESS BANK"/>
    <s v="USSD"/>
    <s v="DP3N411"/>
    <n v="55809"/>
  </r>
  <r>
    <s v="December"/>
    <d v="2022-12-15T00:00:00"/>
    <s v="DP3L355"/>
    <x v="5"/>
    <s v="Ogilbert@gmail.com"/>
    <s v="Male"/>
    <s v="PVC2023179"/>
    <s v="Standard"/>
    <n v="22"/>
    <s v="ADULT"/>
    <s v="ZENITH BANK"/>
    <s v="Online Banking"/>
    <s v="DP3H513"/>
    <n v="45544"/>
  </r>
  <r>
    <s v="December"/>
    <d v="2022-12-15T00:00:00"/>
    <s v="DP3P467"/>
    <x v="90"/>
    <s v="Imatt@gmail.com"/>
    <s v="Male"/>
    <s v="PVC2023158"/>
    <s v="Gold"/>
    <n v="74"/>
    <s v="OLD CITIZEN"/>
    <s v="UNION BANK"/>
    <s v="Mobile Transfer"/>
    <s v="DP3R469"/>
    <n v="49537"/>
  </r>
  <r>
    <s v="December"/>
    <d v="2022-12-16T00:00:00"/>
    <s v="DP3N492"/>
    <x v="18"/>
    <s v="Hpanovsky@ymail.com"/>
    <s v="Male"/>
    <s v="PVC2023182"/>
    <s v="Standard"/>
    <n v="59"/>
    <s v="SENIOR CITIZEN"/>
    <s v="WEMA BANK"/>
    <s v="Partner Agent"/>
    <s v="DP3I406"/>
    <n v="22661"/>
  </r>
  <r>
    <s v="December"/>
    <d v="2022-12-16T00:00:00"/>
    <s v="DP3I487"/>
    <x v="42"/>
    <s v="Aweaver@ymail.com"/>
    <s v="Male"/>
    <s v="PVC2023105"/>
    <s v="Gold"/>
    <n v="39"/>
    <s v="ADULT"/>
    <s v="STANBIC IBTC BANK"/>
    <s v="Over The Counter"/>
    <s v="DP3P521"/>
    <n v="132297"/>
  </r>
  <r>
    <s v="December"/>
    <d v="2022-12-17T00:00:00"/>
    <s v="DP3E591"/>
    <x v="8"/>
    <s v="Oduke@coriftech.com"/>
    <s v="Male"/>
    <s v="PVC2023108"/>
    <s v="Standard"/>
    <n v="48"/>
    <s v="SENIOR CITIZEN"/>
    <s v="UNITED BANK FOR AFRICA"/>
    <s v="Partner Agent"/>
    <s v="DP3B507"/>
    <n v="62060"/>
  </r>
  <r>
    <s v="December"/>
    <d v="2022-12-18T00:00:00"/>
    <s v="DP3M518"/>
    <x v="1"/>
    <s v="Rmitchell@gmail.com"/>
    <s v="Female"/>
    <s v="PVC2023141"/>
    <s v="Premium"/>
    <n v="72"/>
    <s v="OLD CITIZEN"/>
    <s v="UNITED BANK FOR AFRICA"/>
    <s v="USSD"/>
    <s v="DP3Z394"/>
    <n v="155684"/>
  </r>
  <r>
    <s v="December"/>
    <d v="2022-12-19T00:00:00"/>
    <s v="DP2C130"/>
    <x v="44"/>
    <s v="Lbarnett@gmail.com"/>
    <s v="Male"/>
    <s v="PVC2023103"/>
    <s v="Standard"/>
    <n v="39"/>
    <s v="ADULT"/>
    <s v="UNION BANK"/>
    <s v="USSD"/>
    <s v="DP2C238"/>
    <n v="113794"/>
  </r>
  <r>
    <s v="December"/>
    <d v="2022-12-21T00:00:00"/>
    <s v="DP3R496"/>
    <x v="38"/>
    <s v="Atillman@ymail.com"/>
    <s v="Male"/>
    <s v="PVC2023119"/>
    <s v="Gold"/>
    <n v="63"/>
    <s v="OLD CITIZEN"/>
    <s v="ACCESS BANK"/>
    <s v="Online Banking"/>
    <s v="DP3H594"/>
    <n v="125796"/>
  </r>
  <r>
    <s v="December"/>
    <d v="2022-12-22T00:00:00"/>
    <s v="DP3Y369"/>
    <x v="3"/>
    <s v="Balexander@ymail.com"/>
    <s v="Male"/>
    <s v="PVC2023113"/>
    <s v="Premium"/>
    <n v="61"/>
    <s v="OLD CITIZEN"/>
    <s v="GTBANK PLC"/>
    <s v="USSD"/>
    <s v="DP2U229"/>
    <n v="8697"/>
  </r>
  <r>
    <s v="December"/>
    <d v="2022-12-22T00:00:00"/>
    <s v="DP3O412"/>
    <x v="98"/>
    <s v="Wogbonna@ymail.com"/>
    <s v="Female"/>
    <s v="PVC2023149"/>
    <s v="Premium"/>
    <n v="69"/>
    <s v="OLD CITIZEN"/>
    <s v="UNITED BANK FOR AFRICA"/>
    <s v="Partner Agent"/>
    <s v="DP3C508"/>
    <n v="36769"/>
  </r>
  <r>
    <s v="December"/>
    <d v="2022-12-23T00:00:00"/>
    <s v="DP2D239"/>
    <x v="36"/>
    <s v="Amacdonald@gmail.com"/>
    <s v="Male"/>
    <s v="PVC2023150"/>
    <s v="Gold"/>
    <n v="29"/>
    <s v="ADULT"/>
    <s v="UNION BANK"/>
    <s v="Over The Counter"/>
    <s v="DP3P359"/>
    <n v="77183"/>
  </r>
  <r>
    <s v="December"/>
    <d v="2022-12-23T00:00:00"/>
    <s v="DP2V257"/>
    <x v="5"/>
    <s v="Ogilbert@gmail.com"/>
    <s v="Male"/>
    <s v="PVC2023179"/>
    <s v="Standard"/>
    <n v="22"/>
    <s v="ADULT"/>
    <s v="STANBIC IBTC BANK"/>
    <s v="USSD"/>
    <s v="DP2I136"/>
    <n v="111982"/>
  </r>
  <r>
    <s v="December"/>
    <d v="2022-12-24T00:00:00"/>
    <s v="DP3S389"/>
    <x v="51"/>
    <s v="Asolis@ymail.com"/>
    <s v="Female"/>
    <s v="PVC2023124"/>
    <s v="Standard"/>
    <n v="29"/>
    <s v="ADULT"/>
    <s v="ZENITH BANK"/>
    <s v="Online Banking"/>
    <s v="DP3T336"/>
    <n v="90688"/>
  </r>
  <r>
    <s v="December"/>
    <d v="2022-12-25T00:00:00"/>
    <s v="DP3L571"/>
    <x v="27"/>
    <s v="Okidd@gmail.com"/>
    <s v="Male"/>
    <s v="PVC2023134"/>
    <s v="Premium"/>
    <n v="68"/>
    <s v="OLD CITIZEN"/>
    <s v="UNITED BANK FOR AFRICA"/>
    <s v="USSD"/>
    <s v="DP3C373"/>
    <n v="155666"/>
  </r>
  <r>
    <s v="December"/>
    <d v="2022-12-26T00:00:00"/>
    <s v="DP2H135"/>
    <x v="13"/>
    <s v="Tknapp@ymail.com"/>
    <s v="Female"/>
    <s v="PVC2023187"/>
    <s v="Premium"/>
    <n v="61"/>
    <s v="OLD CITIZEN"/>
    <s v="FIDELITY BANK"/>
    <s v="Online Banking"/>
    <s v="DP2H189"/>
    <n v="59908"/>
  </r>
  <r>
    <s v="December"/>
    <d v="2022-12-28T00:00:00"/>
    <s v="DP2Z262"/>
    <x v="7"/>
    <s v="Bbest@gmail.com"/>
    <s v="Female"/>
    <s v="PVC2023125"/>
    <s v="Premium"/>
    <n v="28"/>
    <s v="ADULT"/>
    <s v="UNION BANK"/>
    <s v="Partner Agent"/>
    <s v="DP3R442"/>
    <n v="27986"/>
  </r>
  <r>
    <s v="December"/>
    <d v="2022-12-30T00:00:00"/>
    <s v="DP3T336"/>
    <x v="8"/>
    <s v="Oduke@coriftech.com"/>
    <s v="Male"/>
    <s v="PVC2023108"/>
    <s v="Standard"/>
    <n v="48"/>
    <s v="SENIOR CITIZEN"/>
    <s v="GTBANK PLC"/>
    <s v="Partner Agent"/>
    <s v="DP2L112"/>
    <n v="79030"/>
  </r>
  <r>
    <s v="December"/>
    <d v="2022-12-31T00:00:00"/>
    <s v="DP3Y342"/>
    <x v="48"/>
    <s v="Lporter@gmail.com"/>
    <s v="Female"/>
    <s v="PVC2023137"/>
    <s v="Gold"/>
    <n v="68"/>
    <s v="OLD CITIZEN"/>
    <s v="STANBIC IBTC BANK"/>
    <s v="Mobile Transfer"/>
    <s v="DP3S605"/>
    <n v="27648"/>
  </r>
  <r>
    <s v="December"/>
    <d v="2022-12-31T00:00:00"/>
    <s v="DP2Z154"/>
    <x v="38"/>
    <s v="Atillman@ymail.com"/>
    <s v="Male"/>
    <s v="PVC2023119"/>
    <s v="Gold"/>
    <n v="63"/>
    <s v="OLD CITIZEN"/>
    <s v="STANDARD CHARTERED"/>
    <s v="USSD"/>
    <s v="DP3Z367"/>
    <n v="144574"/>
  </r>
  <r>
    <m/>
    <m/>
    <m/>
    <x v="99"/>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77A0AD-4A23-4ADA-86A6-65295D57C69C}" name="PivotTable2"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9" firstHeaderRow="1" firstDataRow="1" firstDataCol="1"/>
  <pivotFields count="10">
    <pivotField numFmtId="14" showAll="0"/>
    <pivotField dataField="1" showAll="0"/>
    <pivotField showAll="0"/>
    <pivotField showAll="0"/>
    <pivotField showAll="0"/>
    <pivotField showAll="0"/>
    <pivotField showAll="0"/>
    <pivotField showAll="0"/>
    <pivotField showAll="0"/>
    <pivotField axis="axisRow" showAll="0" sortType="descending">
      <items count="6">
        <item x="0"/>
        <item x="4"/>
        <item x="2"/>
        <item x="1"/>
        <item x="3"/>
        <item t="default"/>
      </items>
      <autoSortScope>
        <pivotArea dataOnly="0" outline="0" fieldPosition="0">
          <references count="1">
            <reference field="4294967294" count="1" selected="0">
              <x v="0"/>
            </reference>
          </references>
        </pivotArea>
      </autoSortScope>
    </pivotField>
  </pivotFields>
  <rowFields count="1">
    <field x="9"/>
  </rowFields>
  <rowItems count="6">
    <i>
      <x v="3"/>
    </i>
    <i>
      <x v="4"/>
    </i>
    <i>
      <x/>
    </i>
    <i>
      <x v="1"/>
    </i>
    <i>
      <x v="2"/>
    </i>
    <i t="grand">
      <x/>
    </i>
  </rowItems>
  <colItems count="1">
    <i/>
  </colItems>
  <dataFields count="1">
    <dataField name="Count of TRANSACTION I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56567F-E341-4190-8A71-F99A79FC5299}" name="PivotTable3"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14" firstHeaderRow="1" firstDataRow="1" firstDataCol="1"/>
  <pivotFields count="14">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12">
        <item x="2"/>
        <item x="3"/>
        <item x="0"/>
        <item x="9"/>
        <item x="8"/>
        <item x="1"/>
        <item x="7"/>
        <item x="4"/>
        <item x="6"/>
        <item x="5"/>
        <item m="1" x="10"/>
        <item t="default"/>
      </items>
      <autoSortScope>
        <pivotArea dataOnly="0" outline="0" fieldPosition="0">
          <references count="1">
            <reference field="4294967294" count="1" selected="0">
              <x v="0"/>
            </reference>
          </references>
        </pivotArea>
      </autoSortScope>
    </pivotField>
    <pivotField showAll="0"/>
    <pivotField dataField="1" showAll="0"/>
  </pivotFields>
  <rowFields count="1">
    <field x="11"/>
  </rowFields>
  <rowItems count="11">
    <i>
      <x v="3"/>
    </i>
    <i>
      <x/>
    </i>
    <i>
      <x v="4"/>
    </i>
    <i>
      <x v="5"/>
    </i>
    <i>
      <x v="8"/>
    </i>
    <i>
      <x v="1"/>
    </i>
    <i>
      <x v="9"/>
    </i>
    <i>
      <x v="2"/>
    </i>
    <i>
      <x v="7"/>
    </i>
    <i>
      <x v="6"/>
    </i>
    <i t="grand">
      <x/>
    </i>
  </rowItems>
  <colItems count="1">
    <i/>
  </colItems>
  <dataFields count="1">
    <dataField name="Sum of AMOUNT" fld="13" baseField="0" baseItem="0" numFmtId="164"/>
  </dataFields>
  <formats count="1">
    <format dxfId="2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F596EC-9836-4EA7-B861-C754A011A399}" name="PivotTable1" cacheId="1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8">
  <location ref="A3:B6" firstHeaderRow="1" firstDataRow="1" firstDataCol="1"/>
  <pivotFields count="14">
    <pivotField showAll="0">
      <items count="14">
        <item x="0"/>
        <item x="1"/>
        <item x="2"/>
        <item x="3"/>
        <item x="4"/>
        <item x="5"/>
        <item x="6"/>
        <item x="7"/>
        <item x="8"/>
        <item x="9"/>
        <item x="10"/>
        <item x="11"/>
        <item m="1" x="12"/>
        <item t="default"/>
      </items>
    </pivotField>
    <pivotField numFmtId="14" showAll="0"/>
    <pivotField dataField="1" showAll="0"/>
    <pivotField showAll="0"/>
    <pivotField showAll="0"/>
    <pivotField showAll="0"/>
    <pivotField axis="axisRow" showAll="0">
      <items count="4">
        <item x="1"/>
        <item x="0"/>
        <item m="1" x="2"/>
        <item t="default"/>
      </items>
    </pivotField>
    <pivotField showAll="0"/>
    <pivotField showAll="0"/>
    <pivotField showAll="0">
      <items count="45">
        <item x="10"/>
        <item x="36"/>
        <item x="5"/>
        <item x="30"/>
        <item x="39"/>
        <item x="14"/>
        <item x="25"/>
        <item x="6"/>
        <item x="26"/>
        <item x="11"/>
        <item x="13"/>
        <item x="38"/>
        <item x="23"/>
        <item x="31"/>
        <item x="12"/>
        <item x="22"/>
        <item x="29"/>
        <item x="28"/>
        <item x="0"/>
        <item x="33"/>
        <item x="32"/>
        <item x="24"/>
        <item x="35"/>
        <item x="4"/>
        <item x="37"/>
        <item x="41"/>
        <item x="9"/>
        <item x="17"/>
        <item x="2"/>
        <item x="7"/>
        <item x="3"/>
        <item x="27"/>
        <item x="15"/>
        <item x="34"/>
        <item x="20"/>
        <item x="18"/>
        <item x="21"/>
        <item x="43"/>
        <item x="8"/>
        <item x="1"/>
        <item x="16"/>
        <item x="42"/>
        <item x="40"/>
        <item x="19"/>
        <item t="default"/>
      </items>
    </pivotField>
    <pivotField showAll="0"/>
    <pivotField showAll="0"/>
    <pivotField showAll="0">
      <items count="7">
        <item x="0"/>
        <item x="4"/>
        <item x="2"/>
        <item x="1"/>
        <item x="3"/>
        <item m="1" x="5"/>
        <item t="default"/>
      </items>
    </pivotField>
    <pivotField showAll="0"/>
  </pivotFields>
  <rowFields count="1">
    <field x="6"/>
  </rowFields>
  <rowItems count="3">
    <i>
      <x/>
    </i>
    <i>
      <x v="1"/>
    </i>
    <i t="grand">
      <x/>
    </i>
  </rowItems>
  <colItems count="1">
    <i/>
  </colItems>
  <dataFields count="1">
    <dataField name="Count of TRANSACTION ID" fld="2" subtotal="count" baseField="0" baseItem="0"/>
  </dataFields>
  <chartFormats count="7">
    <chartFormat chart="4"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6" count="1" selected="0">
            <x v="0"/>
          </reference>
        </references>
      </pivotArea>
    </chartFormat>
    <chartFormat chart="6" format="7">
      <pivotArea type="data" outline="0" fieldPosition="0">
        <references count="2">
          <reference field="4294967294" count="1" selected="0">
            <x v="0"/>
          </reference>
          <reference field="6" count="1" selected="0">
            <x v="1"/>
          </reference>
        </references>
      </pivotArea>
    </chartFormat>
    <chartFormat chart="6" format="8">
      <pivotArea type="data" outline="0" fieldPosition="0">
        <references count="2">
          <reference field="4294967294" count="1" selected="0">
            <x v="0"/>
          </reference>
          <reference field="6" count="1" selected="0">
            <x v="2"/>
          </reference>
        </references>
      </pivotArea>
    </chartFormat>
    <chartFormat chart="4" format="3">
      <pivotArea type="data" outline="0" fieldPosition="0">
        <references count="2">
          <reference field="4294967294" count="1" selected="0">
            <x v="0"/>
          </reference>
          <reference field="6" count="1" selected="0">
            <x v="0"/>
          </reference>
        </references>
      </pivotArea>
    </chartFormat>
    <chartFormat chart="4" format="4">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BE9940-123B-4B34-AF5E-CF8AACE84B0B}" name="PivotTable2"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9" firstHeaderRow="1" firstDataRow="1" firstDataCol="1"/>
  <pivotFields count="14">
    <pivotField showAll="0"/>
    <pivotField showAll="0"/>
    <pivotField showAll="0"/>
    <pivotField axis="axisRow" showAll="0" measureFilter="1" sortType="ascending">
      <items count="101">
        <item x="28"/>
        <item x="51"/>
        <item x="24"/>
        <item x="25"/>
        <item x="79"/>
        <item x="38"/>
        <item x="42"/>
        <item x="21"/>
        <item x="69"/>
        <item x="17"/>
        <item x="92"/>
        <item x="64"/>
        <item x="49"/>
        <item x="36"/>
        <item x="56"/>
        <item x="57"/>
        <item x="86"/>
        <item x="23"/>
        <item x="3"/>
        <item x="10"/>
        <item x="15"/>
        <item x="62"/>
        <item x="7"/>
        <item x="19"/>
        <item x="26"/>
        <item x="55"/>
        <item x="14"/>
        <item x="88"/>
        <item x="87"/>
        <item x="83"/>
        <item x="53"/>
        <item x="75"/>
        <item x="12"/>
        <item x="72"/>
        <item x="6"/>
        <item x="31"/>
        <item x="73"/>
        <item x="60"/>
        <item x="45"/>
        <item x="97"/>
        <item x="18"/>
        <item x="67"/>
        <item x="90"/>
        <item x="78"/>
        <item x="11"/>
        <item x="94"/>
        <item x="77"/>
        <item x="50"/>
        <item x="70"/>
        <item x="93"/>
        <item x="33"/>
        <item x="52"/>
        <item x="80"/>
        <item x="81"/>
        <item x="16"/>
        <item x="30"/>
        <item x="41"/>
        <item x="48"/>
        <item x="44"/>
        <item x="35"/>
        <item x="32"/>
        <item x="61"/>
        <item x="46"/>
        <item x="63"/>
        <item x="58"/>
        <item x="96"/>
        <item x="8"/>
        <item x="9"/>
        <item x="65"/>
        <item x="5"/>
        <item x="27"/>
        <item x="66"/>
        <item x="40"/>
        <item x="54"/>
        <item x="2"/>
        <item x="84"/>
        <item x="39"/>
        <item x="37"/>
        <item x="89"/>
        <item x="43"/>
        <item x="34"/>
        <item x="29"/>
        <item x="71"/>
        <item x="1"/>
        <item x="85"/>
        <item x="82"/>
        <item x="76"/>
        <item x="95"/>
        <item x="59"/>
        <item x="68"/>
        <item x="22"/>
        <item x="20"/>
        <item x="13"/>
        <item x="74"/>
        <item x="91"/>
        <item x="47"/>
        <item x="4"/>
        <item x="0"/>
        <item x="98"/>
        <item x="9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s>
  <rowFields count="1">
    <field x="3"/>
  </rowFields>
  <rowItems count="6">
    <i>
      <x v="6"/>
    </i>
    <i>
      <x v="5"/>
    </i>
    <i>
      <x v="1"/>
    </i>
    <i>
      <x v="32"/>
    </i>
    <i>
      <x v="66"/>
    </i>
    <i t="grand">
      <x/>
    </i>
  </rowItems>
  <colItems count="1">
    <i/>
  </colItems>
  <dataFields count="1">
    <dataField name="Count of AMOUNT" fld="13" subtotal="count" baseField="3"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C9591B-3A3F-4D9C-859D-A1E20CA77718}" name="PivotTable6" cacheId="1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4">
  <location ref="A3:B16" firstHeaderRow="1" firstDataRow="1" firstDataCol="1"/>
  <pivotFields count="14">
    <pivotField axis="axisRow" showAll="0">
      <items count="14">
        <item x="0"/>
        <item x="1"/>
        <item x="2"/>
        <item x="3"/>
        <item x="4"/>
        <item x="5"/>
        <item x="6"/>
        <item x="7"/>
        <item x="8"/>
        <item x="9"/>
        <item x="10"/>
        <item x="11"/>
        <item m="1" x="12"/>
        <item t="default"/>
      </items>
    </pivotField>
    <pivotField showAll="0"/>
    <pivotField showAll="0"/>
    <pivotField showAll="0"/>
    <pivotField showAll="0"/>
    <pivotField showAll="0"/>
    <pivotField showAll="0">
      <items count="4">
        <item x="1"/>
        <item x="0"/>
        <item m="1" x="2"/>
        <item t="default"/>
      </items>
    </pivotField>
    <pivotField showAll="0"/>
    <pivotField showAll="0"/>
    <pivotField showAll="0">
      <items count="45">
        <item x="10"/>
        <item x="36"/>
        <item x="5"/>
        <item x="30"/>
        <item x="39"/>
        <item x="14"/>
        <item x="25"/>
        <item x="6"/>
        <item x="26"/>
        <item x="11"/>
        <item x="13"/>
        <item x="38"/>
        <item x="23"/>
        <item x="31"/>
        <item x="12"/>
        <item x="22"/>
        <item x="29"/>
        <item x="28"/>
        <item x="0"/>
        <item x="33"/>
        <item x="32"/>
        <item x="24"/>
        <item x="35"/>
        <item x="4"/>
        <item x="37"/>
        <item x="41"/>
        <item x="9"/>
        <item x="17"/>
        <item x="2"/>
        <item x="7"/>
        <item x="3"/>
        <item x="27"/>
        <item x="15"/>
        <item x="34"/>
        <item x="20"/>
        <item x="18"/>
        <item x="21"/>
        <item x="43"/>
        <item x="8"/>
        <item x="1"/>
        <item x="16"/>
        <item x="42"/>
        <item x="40"/>
        <item x="19"/>
        <item t="default"/>
      </items>
    </pivotField>
    <pivotField showAll="0"/>
    <pivotField showAll="0"/>
    <pivotField showAll="0">
      <items count="7">
        <item x="0"/>
        <item x="4"/>
        <item x="2"/>
        <item x="1"/>
        <item x="3"/>
        <item m="1" x="5"/>
        <item t="default"/>
      </items>
    </pivotField>
    <pivotField dataField="1" showAll="0"/>
  </pivotFields>
  <rowFields count="1">
    <field x="0"/>
  </rowFields>
  <rowItems count="13">
    <i>
      <x/>
    </i>
    <i>
      <x v="1"/>
    </i>
    <i>
      <x v="2"/>
    </i>
    <i>
      <x v="3"/>
    </i>
    <i>
      <x v="4"/>
    </i>
    <i>
      <x v="5"/>
    </i>
    <i>
      <x v="6"/>
    </i>
    <i>
      <x v="7"/>
    </i>
    <i>
      <x v="8"/>
    </i>
    <i>
      <x v="9"/>
    </i>
    <i>
      <x v="10"/>
    </i>
    <i>
      <x v="11"/>
    </i>
    <i t="grand">
      <x/>
    </i>
  </rowItems>
  <colItems count="1">
    <i/>
  </colItems>
  <dataFields count="1">
    <dataField name="Sum of AMOUNT" fld="13" baseField="0" baseItem="0" numFmtId="165"/>
  </dataFields>
  <formats count="2">
    <format dxfId="3">
      <pivotArea collapsedLevelsAreSubtotals="1" fieldPosition="0">
        <references count="1">
          <reference field="0" count="12">
            <x v="0"/>
            <x v="1"/>
            <x v="2"/>
            <x v="3"/>
            <x v="4"/>
            <x v="5"/>
            <x v="6"/>
            <x v="7"/>
            <x v="8"/>
            <x v="9"/>
            <x v="10"/>
            <x v="11"/>
          </reference>
        </references>
      </pivotArea>
    </format>
    <format dxfId="2">
      <pivotArea outline="0" collapsedLevelsAreSubtotals="1" fieldPosition="0"/>
    </format>
  </formats>
  <chartFormats count="2">
    <chartFormat chart="2" format="3"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2224606-ABD3-4DC1-8E3D-0A3092FEFEEF}" name="PivotTable7" cacheId="1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6">
  <location ref="A3:B8" firstHeaderRow="1" firstDataRow="1" firstDataCol="1"/>
  <pivotFields count="14">
    <pivotField showAll="0">
      <items count="14">
        <item x="0"/>
        <item x="1"/>
        <item x="2"/>
        <item x="3"/>
        <item x="4"/>
        <item x="5"/>
        <item x="6"/>
        <item x="7"/>
        <item x="8"/>
        <item x="9"/>
        <item x="10"/>
        <item x="11"/>
        <item m="1" x="12"/>
        <item t="default"/>
      </items>
    </pivotField>
    <pivotField showAll="0"/>
    <pivotField showAll="0"/>
    <pivotField showAll="0"/>
    <pivotField showAll="0"/>
    <pivotField showAll="0"/>
    <pivotField showAll="0">
      <items count="4">
        <item x="1"/>
        <item x="0"/>
        <item m="1" x="2"/>
        <item t="default"/>
      </items>
    </pivotField>
    <pivotField showAll="0"/>
    <pivotField showAll="0"/>
    <pivotField showAll="0">
      <items count="45">
        <item x="10"/>
        <item x="36"/>
        <item x="5"/>
        <item x="30"/>
        <item x="39"/>
        <item x="14"/>
        <item x="25"/>
        <item x="6"/>
        <item x="26"/>
        <item x="11"/>
        <item x="13"/>
        <item x="38"/>
        <item x="23"/>
        <item x="31"/>
        <item x="12"/>
        <item x="22"/>
        <item x="29"/>
        <item x="28"/>
        <item x="0"/>
        <item x="33"/>
        <item x="32"/>
        <item x="24"/>
        <item x="35"/>
        <item x="4"/>
        <item x="37"/>
        <item x="41"/>
        <item x="9"/>
        <item x="17"/>
        <item x="2"/>
        <item x="7"/>
        <item x="3"/>
        <item x="27"/>
        <item x="15"/>
        <item x="34"/>
        <item x="20"/>
        <item x="18"/>
        <item x="21"/>
        <item x="43"/>
        <item x="8"/>
        <item x="1"/>
        <item x="16"/>
        <item x="42"/>
        <item x="40"/>
        <item x="19"/>
        <item t="default"/>
      </items>
    </pivotField>
    <pivotField axis="axisRow" showAll="0">
      <items count="6">
        <item x="2"/>
        <item x="1"/>
        <item x="0"/>
        <item x="3"/>
        <item m="1" x="4"/>
        <item t="default"/>
      </items>
    </pivotField>
    <pivotField showAll="0"/>
    <pivotField showAll="0">
      <items count="7">
        <item x="0"/>
        <item x="4"/>
        <item x="2"/>
        <item x="1"/>
        <item x="3"/>
        <item m="1" x="5"/>
        <item t="default"/>
      </items>
    </pivotField>
    <pivotField dataField="1" showAll="0"/>
  </pivotFields>
  <rowFields count="1">
    <field x="10"/>
  </rowFields>
  <rowItems count="5">
    <i>
      <x/>
    </i>
    <i>
      <x v="1"/>
    </i>
    <i>
      <x v="2"/>
    </i>
    <i>
      <x v="3"/>
    </i>
    <i t="grand">
      <x/>
    </i>
  </rowItems>
  <colItems count="1">
    <i/>
  </colItems>
  <dataFields count="1">
    <dataField name="Sum of AMOUNT" fld="13" baseField="0" baseItem="0" numFmtId="164"/>
  </dataFields>
  <formats count="2">
    <format dxfId="1">
      <pivotArea outline="0" collapsedLevelsAreSubtotals="1" fieldPosition="0"/>
    </format>
    <format dxfId="0">
      <pivotArea dataOnly="0" labelOnly="1" outline="0" axis="axisValues" fieldPosition="0"/>
    </format>
  </formats>
  <chartFormats count="18">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0" count="1" selected="0">
            <x v="0"/>
          </reference>
        </references>
      </pivotArea>
    </chartFormat>
    <chartFormat chart="4" format="3">
      <pivotArea type="data" outline="0" fieldPosition="0">
        <references count="2">
          <reference field="4294967294" count="1" selected="0">
            <x v="0"/>
          </reference>
          <reference field="10" count="1" selected="0">
            <x v="1"/>
          </reference>
        </references>
      </pivotArea>
    </chartFormat>
    <chartFormat chart="4" format="4">
      <pivotArea type="data" outline="0" fieldPosition="0">
        <references count="2">
          <reference field="4294967294" count="1" selected="0">
            <x v="0"/>
          </reference>
          <reference field="10" count="1" selected="0">
            <x v="2"/>
          </reference>
        </references>
      </pivotArea>
    </chartFormat>
    <chartFormat chart="4" format="5">
      <pivotArea type="data" outline="0" fieldPosition="0">
        <references count="2">
          <reference field="4294967294" count="1" selected="0">
            <x v="0"/>
          </reference>
          <reference field="10" count="1" selected="0">
            <x v="3"/>
          </reference>
        </references>
      </pivotArea>
    </chartFormat>
    <chartFormat chart="4" format="6">
      <pivotArea type="data" outline="0" fieldPosition="0">
        <references count="2">
          <reference field="4294967294" count="1" selected="0">
            <x v="0"/>
          </reference>
          <reference field="10" count="1" selected="0">
            <x v="4"/>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10" count="1" selected="0">
            <x v="0"/>
          </reference>
        </references>
      </pivotArea>
    </chartFormat>
    <chartFormat chart="5" format="9">
      <pivotArea type="data" outline="0" fieldPosition="0">
        <references count="2">
          <reference field="4294967294" count="1" selected="0">
            <x v="0"/>
          </reference>
          <reference field="10" count="1" selected="0">
            <x v="1"/>
          </reference>
        </references>
      </pivotArea>
    </chartFormat>
    <chartFormat chart="5" format="10">
      <pivotArea type="data" outline="0" fieldPosition="0">
        <references count="2">
          <reference field="4294967294" count="1" selected="0">
            <x v="0"/>
          </reference>
          <reference field="10" count="1" selected="0">
            <x v="2"/>
          </reference>
        </references>
      </pivotArea>
    </chartFormat>
    <chartFormat chart="5" format="11">
      <pivotArea type="data" outline="0" fieldPosition="0">
        <references count="2">
          <reference field="4294967294" count="1" selected="0">
            <x v="0"/>
          </reference>
          <reference field="10" count="1" selected="0">
            <x v="3"/>
          </reference>
        </references>
      </pivotArea>
    </chartFormat>
    <chartFormat chart="5" format="12">
      <pivotArea type="data" outline="0" fieldPosition="0">
        <references count="2">
          <reference field="4294967294" count="1" selected="0">
            <x v="0"/>
          </reference>
          <reference field="10" count="1" selected="0">
            <x v="4"/>
          </reference>
        </references>
      </pivotArea>
    </chartFormat>
    <chartFormat chart="0" format="6">
      <pivotArea type="data" outline="0" fieldPosition="0">
        <references count="2">
          <reference field="4294967294" count="1" selected="0">
            <x v="0"/>
          </reference>
          <reference field="10" count="1" selected="0">
            <x v="0"/>
          </reference>
        </references>
      </pivotArea>
    </chartFormat>
    <chartFormat chart="0" format="7">
      <pivotArea type="data" outline="0" fieldPosition="0">
        <references count="2">
          <reference field="4294967294" count="1" selected="0">
            <x v="0"/>
          </reference>
          <reference field="10" count="1" selected="0">
            <x v="1"/>
          </reference>
        </references>
      </pivotArea>
    </chartFormat>
    <chartFormat chart="0" format="8">
      <pivotArea type="data" outline="0" fieldPosition="0">
        <references count="2">
          <reference field="4294967294" count="1" selected="0">
            <x v="0"/>
          </reference>
          <reference field="10" count="1" selected="0">
            <x v="2"/>
          </reference>
        </references>
      </pivotArea>
    </chartFormat>
    <chartFormat chart="0" format="9">
      <pivotArea type="data" outline="0" fieldPosition="0">
        <references count="2">
          <reference field="4294967294" count="1" selected="0">
            <x v="0"/>
          </reference>
          <reference field="10" count="1" selected="0">
            <x v="3"/>
          </reference>
        </references>
      </pivotArea>
    </chartFormat>
    <chartFormat chart="0" format="10">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95E4468-B627-4491-94F4-4CFC5EFE855A}" sourceName="MONTH">
  <pivotTables>
    <pivotTable tabId="4" name="PivotTable1"/>
    <pivotTable tabId="9" name="PivotTable6"/>
    <pivotTable tabId="10" name="PivotTable7"/>
  </pivotTables>
  <data>
    <tabular pivotCacheId="1808490074">
      <items count="13">
        <i x="0" s="1"/>
        <i x="1" s="1"/>
        <i x="2" s="1"/>
        <i x="3" s="1"/>
        <i x="4" s="1"/>
        <i x="5" s="1"/>
        <i x="6" s="1"/>
        <i x="7" s="1"/>
        <i x="8" s="1"/>
        <i x="9" s="1"/>
        <i x="10" s="1"/>
        <i x="11" s="1"/>
        <i x="1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DB037CA-F9B1-4849-8197-D62EBBC8BC20}" sourceName="GENDER">
  <pivotTables>
    <pivotTable tabId="4" name="PivotTable1"/>
    <pivotTable tabId="9" name="PivotTable6"/>
    <pivotTable tabId="10" name="PivotTable7"/>
  </pivotTables>
  <data>
    <tabular pivotCacheId="1808490074">
      <items count="3">
        <i x="1" s="1"/>
        <i x="0"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8B69CAD6-3A96-4BEC-8CD0-3F0A62AF4E30}" sourceName="AGE">
  <pivotTables>
    <pivotTable tabId="4" name="PivotTable1"/>
    <pivotTable tabId="9" name="PivotTable6"/>
    <pivotTable tabId="10" name="PivotTable7"/>
  </pivotTables>
  <data>
    <tabular pivotCacheId="1808490074">
      <items count="44">
        <i x="10" s="1"/>
        <i x="36" s="1"/>
        <i x="5" s="1"/>
        <i x="30" s="1"/>
        <i x="39" s="1"/>
        <i x="14" s="1"/>
        <i x="25" s="1"/>
        <i x="6" s="1"/>
        <i x="26" s="1"/>
        <i x="11" s="1"/>
        <i x="13" s="1"/>
        <i x="38" s="1"/>
        <i x="23" s="1"/>
        <i x="31" s="1"/>
        <i x="12" s="1"/>
        <i x="22" s="1"/>
        <i x="29" s="1"/>
        <i x="28" s="1"/>
        <i x="0" s="1"/>
        <i x="33" s="1"/>
        <i x="32" s="1"/>
        <i x="24" s="1"/>
        <i x="35" s="1"/>
        <i x="4" s="1"/>
        <i x="37" s="1"/>
        <i x="41" s="1"/>
        <i x="9" s="1"/>
        <i x="17" s="1"/>
        <i x="2" s="1"/>
        <i x="7" s="1"/>
        <i x="3" s="1"/>
        <i x="27" s="1"/>
        <i x="15" s="1"/>
        <i x="34" s="1"/>
        <i x="20" s="1"/>
        <i x="18" s="1"/>
        <i x="21" s="1"/>
        <i x="43" s="1"/>
        <i x="8" s="1"/>
        <i x="1" s="1"/>
        <i x="16" s="1"/>
        <i x="42" s="1"/>
        <i x="40" s="1"/>
        <i x="1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6ABC5A27-5F47-40CF-A555-C81ACC2A4B9A}" sourceName="PAYMENT METHOD">
  <pivotTables>
    <pivotTable tabId="4" name="PivotTable1"/>
    <pivotTable tabId="9" name="PivotTable6"/>
    <pivotTable tabId="10" name="PivotTable7"/>
  </pivotTables>
  <data>
    <tabular pivotCacheId="1808490074">
      <items count="6">
        <i x="0" s="1"/>
        <i x="4" s="1"/>
        <i x="2" s="1"/>
        <i x="1" s="1"/>
        <i x="3"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C8D643E7-942A-4307-A9AA-EB0250CEA944}" cache="Slicer_MONTH" caption="MONTH" startItem="5" rowHeight="241300"/>
  <slicer name="GENDER" xr10:uid="{615AF78E-C846-432C-B5D4-CDCD3C0E0AB0}" cache="Slicer_GENDER" caption="GENDER" rowHeight="241300"/>
  <slicer name="AGE" xr10:uid="{B3ECEC38-6BCD-4503-BAB2-8D4C4E6181CF}" cache="Slicer_AGE" caption="AGE" startItem="33" rowHeight="241300"/>
  <slicer name="PAYMENT METHOD" xr10:uid="{7E432DA7-7649-4053-A0DF-D93955FBFFAD}" cache="Slicer_PAYMENT_METHOD" caption="PAYMENT METH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3797A3-E8A2-4EF1-9759-BEEA5E2D48A2}" name="Table1" displayName="Table1" ref="A1:N509" totalsRowShown="0" headerRowDxfId="19" dataDxfId="18">
  <autoFilter ref="A1:N509" xr:uid="{E33797A3-E8A2-4EF1-9759-BEEA5E2D48A2}"/>
  <tableColumns count="14">
    <tableColumn id="14" xr3:uid="{1F74AEB6-3923-470A-90FF-F47D9B9B4DD1}" name="MONTH" dataDxfId="17">
      <calculatedColumnFormula>TEXT(Table1[[#This Row],[DATE]],"MMMM")</calculatedColumnFormula>
    </tableColumn>
    <tableColumn id="1" xr3:uid="{35AE22B9-F65D-4307-87F0-8A4D56A41CDF}" name="DATE" dataDxfId="16"/>
    <tableColumn id="2" xr3:uid="{13F41B1D-9D89-4D21-9B6C-80AAF4854E51}" name="TRANSACTION ID" dataDxfId="15"/>
    <tableColumn id="16" xr3:uid="{C5D4EB98-1D37-40AF-8C7D-41F0E70595D7}" name="NAME" dataDxfId="14">
      <calculatedColumnFormula>UPPER(Table1[[#This Row],[NAME2]])</calculatedColumnFormula>
    </tableColumn>
    <tableColumn id="3" xr3:uid="{6C7452CC-AB15-4F28-8D0C-0117954E5DCA}" name="NAME2" dataDxfId="13"/>
    <tableColumn id="4" xr3:uid="{13E7B296-E8FE-4F6E-BC5B-2900E77B57FF}" name="EMAIL" dataDxfId="12"/>
    <tableColumn id="5" xr3:uid="{597F585A-540F-458F-BCCC-6B87BE20900D}" name="GENDER" dataDxfId="11"/>
    <tableColumn id="6" xr3:uid="{0A0F446A-6556-439E-AD47-5A6DFA4A3D80}" name="CUSTOMER ID" dataDxfId="10"/>
    <tableColumn id="7" xr3:uid="{FD1A118D-A242-40E9-8352-EDA3BD34FA07}" name="CATEGORY" dataDxfId="9"/>
    <tableColumn id="8" xr3:uid="{B66611AB-5840-4312-971A-C60B7D81F68B}" name="AGE" dataDxfId="8"/>
    <tableColumn id="15" xr3:uid="{8FAF63C7-207A-415F-A00C-F894A0BD4EFA}" name="AGE GROUP" dataDxfId="7">
      <calculatedColumnFormula>IF(Table1[[#This Row],[AGE]]&lt;=18,"CHILD",IF(Table1[[#This Row],[AGE]]&lt;=20,"TEEN",IF(Table1[[#This Row],[AGE]]&lt;=40,"ADULT",IF(Table1[[#This Row],[AGE]]&lt;=60,"SENIOR CITIZEN","OLD CITIZEN"))))</calculatedColumnFormula>
    </tableColumn>
    <tableColumn id="9" xr3:uid="{1223ACC0-27E7-430C-9CC3-7CFFB64D0140}" name="BANK" dataDxfId="6"/>
    <tableColumn id="10" xr3:uid="{04A0CAAB-B745-4706-8335-44CF2A0A2DD9}" name="PAYMENT METHOD" dataDxfId="5"/>
    <tableColumn id="11" xr3:uid="{711F8F84-8CDD-410B-BFA8-F77326C2C676}" name="AMOUNT" dataDxfId="4">
      <calculatedColumnFormula>VLOOKUP(Table1[[#This Row],[TRANSACTION ID]],'Transaction ID Record'!$C$3:$D$510,2,FALSE)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3988C-7DE5-41C8-B166-6E7EF9F8CCDC}">
  <dimension ref="A3:B9"/>
  <sheetViews>
    <sheetView zoomScale="80" zoomScaleNormal="80" workbookViewId="0">
      <selection activeCell="B14" sqref="B14"/>
    </sheetView>
  </sheetViews>
  <sheetFormatPr defaultRowHeight="14.5" x14ac:dyDescent="0.35"/>
  <cols>
    <col min="1" max="1" width="15.81640625" bestFit="1" customWidth="1"/>
    <col min="2" max="2" width="24.08984375" bestFit="1" customWidth="1"/>
  </cols>
  <sheetData>
    <row r="3" spans="1:2" x14ac:dyDescent="0.35">
      <c r="A3" s="4" t="s">
        <v>843</v>
      </c>
      <c r="B3" t="s">
        <v>845</v>
      </c>
    </row>
    <row r="4" spans="1:2" x14ac:dyDescent="0.35">
      <c r="A4" s="5" t="s">
        <v>25</v>
      </c>
      <c r="B4">
        <v>142</v>
      </c>
    </row>
    <row r="5" spans="1:2" x14ac:dyDescent="0.35">
      <c r="A5" s="5" t="s">
        <v>47</v>
      </c>
      <c r="B5">
        <v>135</v>
      </c>
    </row>
    <row r="6" spans="1:2" x14ac:dyDescent="0.35">
      <c r="A6" s="5" t="s">
        <v>17</v>
      </c>
      <c r="B6">
        <v>91</v>
      </c>
    </row>
    <row r="7" spans="1:2" x14ac:dyDescent="0.35">
      <c r="A7" s="5" t="s">
        <v>61</v>
      </c>
      <c r="B7">
        <v>78</v>
      </c>
    </row>
    <row r="8" spans="1:2" x14ac:dyDescent="0.35">
      <c r="A8" s="5" t="s">
        <v>32</v>
      </c>
      <c r="B8">
        <v>62</v>
      </c>
    </row>
    <row r="9" spans="1:2" x14ac:dyDescent="0.35">
      <c r="A9" s="5" t="s">
        <v>844</v>
      </c>
      <c r="B9">
        <v>508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280B4-9659-4436-972B-EAD89A5E4215}">
  <dimension ref="A1"/>
  <sheetViews>
    <sheetView zoomScale="41" workbookViewId="0">
      <selection activeCell="AE19" sqref="AE19"/>
    </sheetView>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N1000"/>
  <sheetViews>
    <sheetView topLeftCell="C1" zoomScale="80" workbookViewId="0">
      <selection activeCell="B14" sqref="B14"/>
    </sheetView>
  </sheetViews>
  <sheetFormatPr defaultColWidth="14.453125" defaultRowHeight="15" customHeight="1" x14ac:dyDescent="0.35"/>
  <cols>
    <col min="1" max="1" width="8.7265625" customWidth="1"/>
    <col min="2" max="2" width="10.453125" customWidth="1"/>
    <col min="3" max="3" width="15.1796875" customWidth="1"/>
    <col min="4" max="4" width="17.54296875" customWidth="1"/>
    <col min="5" max="5" width="23.81640625" customWidth="1"/>
    <col min="6" max="6" width="7.7265625" customWidth="1"/>
    <col min="7" max="7" width="12.54296875" customWidth="1"/>
    <col min="8" max="8" width="9.81640625" customWidth="1"/>
    <col min="9" max="9" width="4.26953125" customWidth="1"/>
    <col min="10" max="10" width="22.7265625" customWidth="1"/>
    <col min="11" max="11" width="17.26953125" customWidth="1"/>
    <col min="12" max="13" width="8.7265625" customWidth="1"/>
    <col min="14" max="14" width="41.1796875" bestFit="1" customWidth="1"/>
    <col min="15" max="26" width="8.7265625" customWidth="1"/>
  </cols>
  <sheetData>
    <row r="1" spans="2:14" ht="14.25" customHeight="1" x14ac:dyDescent="0.35"/>
    <row r="2" spans="2:14" ht="14.25" customHeight="1" x14ac:dyDescent="0.35">
      <c r="B2" s="1" t="s">
        <v>0</v>
      </c>
      <c r="C2" s="1" t="s">
        <v>1</v>
      </c>
      <c r="D2" s="1" t="s">
        <v>2</v>
      </c>
      <c r="E2" s="1" t="s">
        <v>3</v>
      </c>
      <c r="F2" s="1" t="s">
        <v>4</v>
      </c>
      <c r="G2" s="1" t="s">
        <v>5</v>
      </c>
      <c r="H2" s="1" t="s">
        <v>6</v>
      </c>
      <c r="I2" s="1" t="s">
        <v>7</v>
      </c>
      <c r="J2" s="1" t="s">
        <v>8</v>
      </c>
      <c r="K2" s="1" t="s">
        <v>9</v>
      </c>
    </row>
    <row r="3" spans="2:14" ht="14.25" customHeight="1" x14ac:dyDescent="0.35">
      <c r="B3" s="2">
        <v>44562</v>
      </c>
      <c r="C3" s="1" t="s">
        <v>10</v>
      </c>
      <c r="D3" s="1" t="s">
        <v>11</v>
      </c>
      <c r="E3" s="1" t="s">
        <v>12</v>
      </c>
      <c r="F3" s="1" t="s">
        <v>13</v>
      </c>
      <c r="G3" s="1" t="s">
        <v>14</v>
      </c>
      <c r="H3" s="1" t="s">
        <v>15</v>
      </c>
      <c r="I3" s="1">
        <v>41</v>
      </c>
      <c r="J3" s="1" t="s">
        <v>16</v>
      </c>
      <c r="K3" s="1" t="s">
        <v>17</v>
      </c>
    </row>
    <row r="4" spans="2:14" ht="14.25" customHeight="1" x14ac:dyDescent="0.35">
      <c r="B4" s="2">
        <v>44562</v>
      </c>
      <c r="C4" s="1" t="s">
        <v>18</v>
      </c>
      <c r="D4" s="1" t="s">
        <v>19</v>
      </c>
      <c r="E4" s="1" t="s">
        <v>20</v>
      </c>
      <c r="F4" s="1" t="s">
        <v>21</v>
      </c>
      <c r="G4" s="1" t="s">
        <v>22</v>
      </c>
      <c r="H4" s="1" t="s">
        <v>23</v>
      </c>
      <c r="I4" s="1">
        <v>72</v>
      </c>
      <c r="J4" s="1" t="s">
        <v>24</v>
      </c>
      <c r="K4" s="1" t="s">
        <v>25</v>
      </c>
      <c r="N4" t="s">
        <v>836</v>
      </c>
    </row>
    <row r="5" spans="2:14" ht="14.25" customHeight="1" x14ac:dyDescent="0.35">
      <c r="B5" s="2">
        <v>44564</v>
      </c>
      <c r="C5" s="1" t="s">
        <v>26</v>
      </c>
      <c r="D5" s="1" t="s">
        <v>27</v>
      </c>
      <c r="E5" s="1" t="s">
        <v>28</v>
      </c>
      <c r="F5" s="1" t="s">
        <v>21</v>
      </c>
      <c r="G5" s="1" t="s">
        <v>29</v>
      </c>
      <c r="H5" s="1" t="s">
        <v>30</v>
      </c>
      <c r="I5" s="1">
        <v>59</v>
      </c>
      <c r="J5" s="1" t="s">
        <v>31</v>
      </c>
      <c r="K5" s="1" t="s">
        <v>32</v>
      </c>
      <c r="N5" t="s">
        <v>837</v>
      </c>
    </row>
    <row r="6" spans="2:14" ht="14.25" customHeight="1" x14ac:dyDescent="0.35">
      <c r="B6" s="2">
        <v>44564</v>
      </c>
      <c r="C6" s="1" t="s">
        <v>33</v>
      </c>
      <c r="D6" s="1" t="s">
        <v>34</v>
      </c>
      <c r="E6" s="1" t="s">
        <v>35</v>
      </c>
      <c r="F6" s="1" t="s">
        <v>13</v>
      </c>
      <c r="G6" s="1" t="s">
        <v>36</v>
      </c>
      <c r="H6" s="1" t="s">
        <v>23</v>
      </c>
      <c r="I6" s="1">
        <v>61</v>
      </c>
      <c r="J6" s="1" t="s">
        <v>37</v>
      </c>
      <c r="K6" s="1" t="s">
        <v>17</v>
      </c>
      <c r="N6" t="s">
        <v>838</v>
      </c>
    </row>
    <row r="7" spans="2:14" ht="14.25" customHeight="1" x14ac:dyDescent="0.35">
      <c r="B7" s="2">
        <v>44564</v>
      </c>
      <c r="C7" s="1" t="s">
        <v>38</v>
      </c>
      <c r="D7" s="1" t="s">
        <v>39</v>
      </c>
      <c r="E7" s="1" t="s">
        <v>40</v>
      </c>
      <c r="F7" s="1" t="s">
        <v>21</v>
      </c>
      <c r="G7" s="1" t="s">
        <v>41</v>
      </c>
      <c r="H7" s="1" t="s">
        <v>15</v>
      </c>
      <c r="I7" s="1">
        <v>48</v>
      </c>
      <c r="J7" s="1" t="s">
        <v>42</v>
      </c>
      <c r="K7" s="1" t="s">
        <v>17</v>
      </c>
      <c r="N7" t="s">
        <v>839</v>
      </c>
    </row>
    <row r="8" spans="2:14" ht="14.25" customHeight="1" x14ac:dyDescent="0.35">
      <c r="B8" s="2">
        <v>44564</v>
      </c>
      <c r="C8" s="1" t="s">
        <v>43</v>
      </c>
      <c r="D8" s="1" t="s">
        <v>44</v>
      </c>
      <c r="E8" s="1" t="s">
        <v>45</v>
      </c>
      <c r="F8" s="1" t="s">
        <v>13</v>
      </c>
      <c r="G8" s="1" t="s">
        <v>46</v>
      </c>
      <c r="H8" s="1" t="s">
        <v>15</v>
      </c>
      <c r="I8" s="1">
        <v>22</v>
      </c>
      <c r="J8" s="1" t="s">
        <v>42</v>
      </c>
      <c r="K8" s="1" t="s">
        <v>47</v>
      </c>
      <c r="N8" t="s">
        <v>840</v>
      </c>
    </row>
    <row r="9" spans="2:14" ht="14.25" customHeight="1" x14ac:dyDescent="0.35">
      <c r="B9" s="2">
        <v>44565</v>
      </c>
      <c r="C9" s="1" t="s">
        <v>48</v>
      </c>
      <c r="D9" s="1" t="s">
        <v>49</v>
      </c>
      <c r="E9" s="1" t="s">
        <v>50</v>
      </c>
      <c r="F9" s="1" t="s">
        <v>13</v>
      </c>
      <c r="G9" s="1" t="s">
        <v>51</v>
      </c>
      <c r="H9" s="1" t="s">
        <v>15</v>
      </c>
      <c r="I9" s="1">
        <v>61</v>
      </c>
      <c r="J9" s="1" t="s">
        <v>52</v>
      </c>
      <c r="K9" s="1" t="s">
        <v>17</v>
      </c>
      <c r="N9" t="s">
        <v>841</v>
      </c>
    </row>
    <row r="10" spans="2:14" ht="14.25" customHeight="1" x14ac:dyDescent="0.35">
      <c r="B10" s="2">
        <v>44566</v>
      </c>
      <c r="C10" s="1" t="s">
        <v>53</v>
      </c>
      <c r="D10" s="1" t="s">
        <v>54</v>
      </c>
      <c r="E10" s="1" t="s">
        <v>55</v>
      </c>
      <c r="F10" s="1" t="s">
        <v>21</v>
      </c>
      <c r="G10" s="1" t="s">
        <v>56</v>
      </c>
      <c r="H10" s="1" t="s">
        <v>23</v>
      </c>
      <c r="I10" s="1">
        <v>28</v>
      </c>
      <c r="J10" s="1" t="s">
        <v>57</v>
      </c>
      <c r="K10" s="1" t="s">
        <v>47</v>
      </c>
      <c r="N10" t="s">
        <v>842</v>
      </c>
    </row>
    <row r="11" spans="2:14" ht="14.25" customHeight="1" x14ac:dyDescent="0.35">
      <c r="B11" s="2">
        <v>44567</v>
      </c>
      <c r="C11" s="1" t="s">
        <v>58</v>
      </c>
      <c r="D11" s="1" t="s">
        <v>59</v>
      </c>
      <c r="E11" s="1" t="s">
        <v>800</v>
      </c>
      <c r="F11" s="1" t="s">
        <v>13</v>
      </c>
      <c r="G11" s="1" t="s">
        <v>60</v>
      </c>
      <c r="H11" s="1" t="s">
        <v>15</v>
      </c>
      <c r="I11" s="1">
        <v>48</v>
      </c>
      <c r="J11" s="1" t="s">
        <v>16</v>
      </c>
      <c r="K11" s="1" t="s">
        <v>61</v>
      </c>
    </row>
    <row r="12" spans="2:14" ht="14.25" customHeight="1" x14ac:dyDescent="0.35">
      <c r="B12" s="2">
        <v>44567</v>
      </c>
      <c r="C12" s="1" t="s">
        <v>62</v>
      </c>
      <c r="D12" s="1" t="s">
        <v>63</v>
      </c>
      <c r="E12" s="1" t="s">
        <v>64</v>
      </c>
      <c r="F12" s="1" t="s">
        <v>13</v>
      </c>
      <c r="G12" s="1" t="s">
        <v>65</v>
      </c>
      <c r="H12" s="1" t="s">
        <v>15</v>
      </c>
      <c r="I12" s="1">
        <v>60</v>
      </c>
      <c r="J12" s="1" t="s">
        <v>66</v>
      </c>
      <c r="K12" s="1" t="s">
        <v>32</v>
      </c>
    </row>
    <row r="13" spans="2:14" ht="14.25" customHeight="1" x14ac:dyDescent="0.35">
      <c r="B13" s="2">
        <v>44567</v>
      </c>
      <c r="C13" s="1" t="s">
        <v>67</v>
      </c>
      <c r="D13" s="1" t="s">
        <v>68</v>
      </c>
      <c r="E13" s="1" t="s">
        <v>801</v>
      </c>
      <c r="F13" s="1" t="s">
        <v>13</v>
      </c>
      <c r="G13" s="1" t="s">
        <v>69</v>
      </c>
      <c r="H13" s="1" t="s">
        <v>30</v>
      </c>
      <c r="I13" s="1">
        <v>71</v>
      </c>
      <c r="J13" s="1" t="s">
        <v>66</v>
      </c>
      <c r="K13" s="1" t="s">
        <v>32</v>
      </c>
    </row>
    <row r="14" spans="2:14" ht="14.25" customHeight="1" x14ac:dyDescent="0.35">
      <c r="B14" s="2">
        <v>44568</v>
      </c>
      <c r="C14" s="1" t="s">
        <v>70</v>
      </c>
      <c r="D14" s="1" t="s">
        <v>71</v>
      </c>
      <c r="E14" s="1" t="s">
        <v>802</v>
      </c>
      <c r="F14" s="1" t="s">
        <v>21</v>
      </c>
      <c r="G14" s="1" t="s">
        <v>72</v>
      </c>
      <c r="H14" s="1" t="s">
        <v>23</v>
      </c>
      <c r="I14" s="1">
        <v>54</v>
      </c>
      <c r="J14" s="1" t="s">
        <v>66</v>
      </c>
      <c r="K14" s="1" t="s">
        <v>25</v>
      </c>
    </row>
    <row r="15" spans="2:14" ht="14.25" customHeight="1" x14ac:dyDescent="0.35">
      <c r="B15" s="2">
        <v>44569</v>
      </c>
      <c r="C15" s="1" t="s">
        <v>73</v>
      </c>
      <c r="D15" s="1" t="s">
        <v>68</v>
      </c>
      <c r="E15" s="1" t="s">
        <v>801</v>
      </c>
      <c r="F15" s="1" t="s">
        <v>13</v>
      </c>
      <c r="G15" s="1" t="s">
        <v>69</v>
      </c>
      <c r="H15" s="1" t="s">
        <v>30</v>
      </c>
      <c r="I15" s="1">
        <v>71</v>
      </c>
      <c r="J15" s="1" t="s">
        <v>57</v>
      </c>
      <c r="K15" s="1" t="s">
        <v>17</v>
      </c>
    </row>
    <row r="16" spans="2:14" ht="14.25" customHeight="1" x14ac:dyDescent="0.35">
      <c r="B16" s="2">
        <v>44570</v>
      </c>
      <c r="C16" s="1" t="s">
        <v>74</v>
      </c>
      <c r="D16" s="1" t="s">
        <v>75</v>
      </c>
      <c r="E16" s="1" t="s">
        <v>76</v>
      </c>
      <c r="F16" s="1" t="s">
        <v>21</v>
      </c>
      <c r="G16" s="1" t="s">
        <v>77</v>
      </c>
      <c r="H16" s="1" t="s">
        <v>30</v>
      </c>
      <c r="I16" s="1">
        <v>19</v>
      </c>
      <c r="J16" s="1" t="s">
        <v>31</v>
      </c>
      <c r="K16" s="1" t="s">
        <v>47</v>
      </c>
    </row>
    <row r="17" spans="2:11" ht="14.25" customHeight="1" x14ac:dyDescent="0.35">
      <c r="B17" s="2">
        <v>44570</v>
      </c>
      <c r="C17" s="1" t="s">
        <v>78</v>
      </c>
      <c r="D17" s="1" t="s">
        <v>79</v>
      </c>
      <c r="E17" s="1" t="s">
        <v>80</v>
      </c>
      <c r="F17" s="1" t="s">
        <v>21</v>
      </c>
      <c r="G17" s="1" t="s">
        <v>81</v>
      </c>
      <c r="H17" s="1" t="s">
        <v>23</v>
      </c>
      <c r="I17" s="1">
        <v>61</v>
      </c>
      <c r="J17" s="1" t="s">
        <v>37</v>
      </c>
      <c r="K17" s="1" t="s">
        <v>17</v>
      </c>
    </row>
    <row r="18" spans="2:11" ht="14.25" customHeight="1" x14ac:dyDescent="0.35">
      <c r="B18" s="2">
        <v>44572</v>
      </c>
      <c r="C18" s="1" t="s">
        <v>82</v>
      </c>
      <c r="D18" s="1" t="s">
        <v>83</v>
      </c>
      <c r="E18" s="1" t="s">
        <v>803</v>
      </c>
      <c r="F18" s="1" t="s">
        <v>13</v>
      </c>
      <c r="G18" s="1" t="s">
        <v>84</v>
      </c>
      <c r="H18" s="1" t="s">
        <v>30</v>
      </c>
      <c r="I18" s="1">
        <v>30</v>
      </c>
      <c r="J18" s="1" t="s">
        <v>66</v>
      </c>
      <c r="K18" s="1" t="s">
        <v>17</v>
      </c>
    </row>
    <row r="19" spans="2:11" ht="14.25" customHeight="1" x14ac:dyDescent="0.35">
      <c r="B19" s="2">
        <v>44574</v>
      </c>
      <c r="C19" s="1" t="s">
        <v>85</v>
      </c>
      <c r="D19" s="1" t="s">
        <v>49</v>
      </c>
      <c r="E19" s="1" t="s">
        <v>50</v>
      </c>
      <c r="F19" s="1" t="s">
        <v>13</v>
      </c>
      <c r="G19" s="1" t="s">
        <v>51</v>
      </c>
      <c r="H19" s="1" t="s">
        <v>15</v>
      </c>
      <c r="I19" s="1">
        <v>61</v>
      </c>
      <c r="J19" s="1" t="s">
        <v>52</v>
      </c>
      <c r="K19" s="1" t="s">
        <v>25</v>
      </c>
    </row>
    <row r="20" spans="2:11" ht="14.25" customHeight="1" x14ac:dyDescent="0.35">
      <c r="B20" s="2">
        <v>44575</v>
      </c>
      <c r="C20" s="1" t="s">
        <v>86</v>
      </c>
      <c r="D20" s="1" t="s">
        <v>87</v>
      </c>
      <c r="E20" s="1" t="s">
        <v>88</v>
      </c>
      <c r="F20" s="1" t="s">
        <v>13</v>
      </c>
      <c r="G20" s="1" t="s">
        <v>89</v>
      </c>
      <c r="H20" s="1" t="s">
        <v>23</v>
      </c>
      <c r="I20" s="1">
        <v>36</v>
      </c>
      <c r="J20" s="1" t="s">
        <v>66</v>
      </c>
      <c r="K20" s="1" t="s">
        <v>17</v>
      </c>
    </row>
    <row r="21" spans="2:11" ht="14.25" customHeight="1" x14ac:dyDescent="0.35">
      <c r="B21" s="2">
        <v>44575</v>
      </c>
      <c r="C21" s="1" t="s">
        <v>90</v>
      </c>
      <c r="D21" s="1" t="s">
        <v>59</v>
      </c>
      <c r="E21" s="1" t="s">
        <v>800</v>
      </c>
      <c r="F21" s="1" t="s">
        <v>13</v>
      </c>
      <c r="G21" s="1" t="s">
        <v>60</v>
      </c>
      <c r="H21" s="1" t="s">
        <v>15</v>
      </c>
      <c r="I21" s="1">
        <v>48</v>
      </c>
      <c r="J21" s="1" t="s">
        <v>24</v>
      </c>
      <c r="K21" s="1" t="s">
        <v>25</v>
      </c>
    </row>
    <row r="22" spans="2:11" ht="14.25" customHeight="1" x14ac:dyDescent="0.35">
      <c r="B22" s="2">
        <v>44576</v>
      </c>
      <c r="C22" s="1" t="s">
        <v>91</v>
      </c>
      <c r="D22" s="1" t="s">
        <v>92</v>
      </c>
      <c r="E22" s="1" t="s">
        <v>804</v>
      </c>
      <c r="F22" s="1" t="s">
        <v>21</v>
      </c>
      <c r="G22" s="1" t="s">
        <v>93</v>
      </c>
      <c r="H22" s="1" t="s">
        <v>23</v>
      </c>
      <c r="I22" s="1">
        <v>31</v>
      </c>
      <c r="J22" s="1" t="s">
        <v>24</v>
      </c>
      <c r="K22" s="1" t="s">
        <v>47</v>
      </c>
    </row>
    <row r="23" spans="2:11" ht="14.25" customHeight="1" x14ac:dyDescent="0.35">
      <c r="B23" s="2">
        <v>44576</v>
      </c>
      <c r="C23" s="1" t="s">
        <v>94</v>
      </c>
      <c r="D23" s="1" t="s">
        <v>34</v>
      </c>
      <c r="E23" s="1" t="s">
        <v>35</v>
      </c>
      <c r="F23" s="1" t="s">
        <v>13</v>
      </c>
      <c r="G23" s="1" t="s">
        <v>36</v>
      </c>
      <c r="H23" s="1" t="s">
        <v>23</v>
      </c>
      <c r="I23" s="1">
        <v>61</v>
      </c>
      <c r="J23" s="1" t="s">
        <v>66</v>
      </c>
      <c r="K23" s="1" t="s">
        <v>17</v>
      </c>
    </row>
    <row r="24" spans="2:11" ht="14.25" customHeight="1" x14ac:dyDescent="0.35">
      <c r="B24" s="2">
        <v>44578</v>
      </c>
      <c r="C24" s="1" t="s">
        <v>95</v>
      </c>
      <c r="D24" s="1" t="s">
        <v>68</v>
      </c>
      <c r="E24" s="1" t="s">
        <v>801</v>
      </c>
      <c r="F24" s="1" t="s">
        <v>13</v>
      </c>
      <c r="G24" s="1" t="s">
        <v>69</v>
      </c>
      <c r="H24" s="1" t="s">
        <v>30</v>
      </c>
      <c r="I24" s="1">
        <v>71</v>
      </c>
      <c r="J24" s="1" t="s">
        <v>52</v>
      </c>
      <c r="K24" s="1" t="s">
        <v>32</v>
      </c>
    </row>
    <row r="25" spans="2:11" ht="14.25" customHeight="1" x14ac:dyDescent="0.35">
      <c r="B25" s="2">
        <v>44579</v>
      </c>
      <c r="C25" s="1" t="s">
        <v>96</v>
      </c>
      <c r="D25" s="1" t="s">
        <v>97</v>
      </c>
      <c r="E25" s="1" t="s">
        <v>805</v>
      </c>
      <c r="F25" s="1" t="s">
        <v>21</v>
      </c>
      <c r="G25" s="1" t="s">
        <v>98</v>
      </c>
      <c r="H25" s="1" t="s">
        <v>30</v>
      </c>
      <c r="I25" s="1">
        <v>25</v>
      </c>
      <c r="J25" s="1" t="s">
        <v>37</v>
      </c>
      <c r="K25" s="1" t="s">
        <v>25</v>
      </c>
    </row>
    <row r="26" spans="2:11" ht="14.25" customHeight="1" x14ac:dyDescent="0.35">
      <c r="B26" s="2">
        <v>44579</v>
      </c>
      <c r="C26" s="1" t="s">
        <v>99</v>
      </c>
      <c r="D26" s="1" t="s">
        <v>100</v>
      </c>
      <c r="E26" s="1" t="s">
        <v>101</v>
      </c>
      <c r="F26" s="1" t="s">
        <v>13</v>
      </c>
      <c r="G26" s="1" t="s">
        <v>102</v>
      </c>
      <c r="H26" s="1" t="s">
        <v>15</v>
      </c>
      <c r="I26" s="1">
        <v>59</v>
      </c>
      <c r="J26" s="1" t="s">
        <v>31</v>
      </c>
      <c r="K26" s="1" t="s">
        <v>47</v>
      </c>
    </row>
    <row r="27" spans="2:11" ht="14.25" customHeight="1" x14ac:dyDescent="0.35">
      <c r="B27" s="2">
        <v>44581</v>
      </c>
      <c r="C27" s="1" t="s">
        <v>103</v>
      </c>
      <c r="D27" s="1" t="s">
        <v>104</v>
      </c>
      <c r="E27" s="1" t="s">
        <v>806</v>
      </c>
      <c r="F27" s="1" t="s">
        <v>13</v>
      </c>
      <c r="G27" s="1" t="s">
        <v>105</v>
      </c>
      <c r="H27" s="1" t="s">
        <v>30</v>
      </c>
      <c r="I27" s="1">
        <v>64</v>
      </c>
      <c r="J27" s="1" t="s">
        <v>66</v>
      </c>
      <c r="K27" s="1" t="s">
        <v>25</v>
      </c>
    </row>
    <row r="28" spans="2:11" ht="14.25" customHeight="1" x14ac:dyDescent="0.35">
      <c r="B28" s="2">
        <v>44582</v>
      </c>
      <c r="C28" s="1" t="s">
        <v>106</v>
      </c>
      <c r="D28" s="1" t="s">
        <v>107</v>
      </c>
      <c r="E28" s="1" t="s">
        <v>807</v>
      </c>
      <c r="F28" s="1" t="s">
        <v>21</v>
      </c>
      <c r="G28" s="1" t="s">
        <v>108</v>
      </c>
      <c r="H28" s="1" t="s">
        <v>15</v>
      </c>
      <c r="I28" s="1">
        <v>73</v>
      </c>
      <c r="J28" s="1" t="s">
        <v>57</v>
      </c>
      <c r="K28" s="1" t="s">
        <v>17</v>
      </c>
    </row>
    <row r="29" spans="2:11" ht="14.25" customHeight="1" x14ac:dyDescent="0.35">
      <c r="B29" s="2">
        <v>44583</v>
      </c>
      <c r="C29" s="1" t="s">
        <v>109</v>
      </c>
      <c r="D29" s="1" t="s">
        <v>100</v>
      </c>
      <c r="E29" s="1" t="s">
        <v>101</v>
      </c>
      <c r="F29" s="1" t="s">
        <v>13</v>
      </c>
      <c r="G29" s="1" t="s">
        <v>102</v>
      </c>
      <c r="H29" s="1" t="s">
        <v>15</v>
      </c>
      <c r="I29" s="1">
        <v>59</v>
      </c>
      <c r="J29" s="1" t="s">
        <v>16</v>
      </c>
      <c r="K29" s="1" t="s">
        <v>25</v>
      </c>
    </row>
    <row r="30" spans="2:11" ht="14.25" customHeight="1" x14ac:dyDescent="0.35">
      <c r="B30" s="2">
        <v>44584</v>
      </c>
      <c r="C30" s="1" t="s">
        <v>110</v>
      </c>
      <c r="D30" s="1" t="s">
        <v>111</v>
      </c>
      <c r="E30" s="1" t="s">
        <v>112</v>
      </c>
      <c r="F30" s="1" t="s">
        <v>21</v>
      </c>
      <c r="G30" s="1" t="s">
        <v>113</v>
      </c>
      <c r="H30" s="1" t="s">
        <v>23</v>
      </c>
      <c r="I30" s="1">
        <v>58</v>
      </c>
      <c r="J30" s="1" t="s">
        <v>52</v>
      </c>
      <c r="K30" s="1" t="s">
        <v>47</v>
      </c>
    </row>
    <row r="31" spans="2:11" ht="14.25" customHeight="1" x14ac:dyDescent="0.35">
      <c r="B31" s="2">
        <v>44586</v>
      </c>
      <c r="C31" s="1" t="s">
        <v>114</v>
      </c>
      <c r="D31" s="1" t="s">
        <v>115</v>
      </c>
      <c r="E31" s="1" t="s">
        <v>808</v>
      </c>
      <c r="F31" s="1" t="s">
        <v>13</v>
      </c>
      <c r="G31" s="1" t="s">
        <v>116</v>
      </c>
      <c r="H31" s="1" t="s">
        <v>15</v>
      </c>
      <c r="I31" s="1">
        <v>67</v>
      </c>
      <c r="J31" s="1" t="s">
        <v>31</v>
      </c>
      <c r="K31" s="1" t="s">
        <v>25</v>
      </c>
    </row>
    <row r="32" spans="2:11" ht="14.25" customHeight="1" x14ac:dyDescent="0.35">
      <c r="B32" s="2">
        <v>44586</v>
      </c>
      <c r="C32" s="1" t="s">
        <v>117</v>
      </c>
      <c r="D32" s="1" t="s">
        <v>118</v>
      </c>
      <c r="E32" s="1" t="s">
        <v>809</v>
      </c>
      <c r="F32" s="1" t="s">
        <v>21</v>
      </c>
      <c r="G32" s="1" t="s">
        <v>119</v>
      </c>
      <c r="H32" s="1" t="s">
        <v>30</v>
      </c>
      <c r="I32" s="1">
        <v>19</v>
      </c>
      <c r="J32" s="1" t="s">
        <v>24</v>
      </c>
      <c r="K32" s="1" t="s">
        <v>17</v>
      </c>
    </row>
    <row r="33" spans="2:11" ht="14.25" customHeight="1" x14ac:dyDescent="0.35">
      <c r="B33" s="2">
        <v>44586</v>
      </c>
      <c r="C33" s="1" t="s">
        <v>120</v>
      </c>
      <c r="D33" s="1" t="s">
        <v>121</v>
      </c>
      <c r="E33" s="1" t="s">
        <v>122</v>
      </c>
      <c r="F33" s="1" t="s">
        <v>13</v>
      </c>
      <c r="G33" s="1" t="s">
        <v>123</v>
      </c>
      <c r="H33" s="1" t="s">
        <v>15</v>
      </c>
      <c r="I33" s="1">
        <v>59</v>
      </c>
      <c r="J33" s="1" t="s">
        <v>42</v>
      </c>
      <c r="K33" s="1" t="s">
        <v>17</v>
      </c>
    </row>
    <row r="34" spans="2:11" ht="14.25" customHeight="1" x14ac:dyDescent="0.35">
      <c r="B34" s="2">
        <v>44587</v>
      </c>
      <c r="C34" s="1" t="s">
        <v>124</v>
      </c>
      <c r="D34" s="1" t="s">
        <v>125</v>
      </c>
      <c r="E34" s="1" t="s">
        <v>126</v>
      </c>
      <c r="F34" s="1" t="s">
        <v>21</v>
      </c>
      <c r="G34" s="1" t="s">
        <v>127</v>
      </c>
      <c r="H34" s="1" t="s">
        <v>23</v>
      </c>
      <c r="I34" s="1">
        <v>76</v>
      </c>
      <c r="J34" s="1" t="s">
        <v>37</v>
      </c>
      <c r="K34" s="1" t="s">
        <v>61</v>
      </c>
    </row>
    <row r="35" spans="2:11" ht="14.25" customHeight="1" x14ac:dyDescent="0.35">
      <c r="B35" s="2">
        <v>44587</v>
      </c>
      <c r="C35" s="1" t="s">
        <v>128</v>
      </c>
      <c r="D35" s="1" t="s">
        <v>129</v>
      </c>
      <c r="E35" s="1" t="s">
        <v>130</v>
      </c>
      <c r="F35" s="1" t="s">
        <v>21</v>
      </c>
      <c r="G35" s="1" t="s">
        <v>131</v>
      </c>
      <c r="H35" s="1" t="s">
        <v>23</v>
      </c>
      <c r="I35" s="1">
        <v>66</v>
      </c>
      <c r="J35" s="1" t="s">
        <v>42</v>
      </c>
      <c r="K35" s="1" t="s">
        <v>61</v>
      </c>
    </row>
    <row r="36" spans="2:11" ht="14.25" customHeight="1" x14ac:dyDescent="0.35">
      <c r="B36" s="2">
        <v>44588</v>
      </c>
      <c r="C36" s="1" t="s">
        <v>132</v>
      </c>
      <c r="D36" s="1" t="s">
        <v>133</v>
      </c>
      <c r="E36" s="1" t="s">
        <v>134</v>
      </c>
      <c r="F36" s="1" t="s">
        <v>13</v>
      </c>
      <c r="G36" s="1" t="s">
        <v>135</v>
      </c>
      <c r="H36" s="1" t="s">
        <v>23</v>
      </c>
      <c r="I36" s="1">
        <v>68</v>
      </c>
      <c r="J36" s="1" t="s">
        <v>37</v>
      </c>
      <c r="K36" s="1" t="s">
        <v>47</v>
      </c>
    </row>
    <row r="37" spans="2:11" ht="14.25" customHeight="1" x14ac:dyDescent="0.35">
      <c r="B37" s="2">
        <v>44588</v>
      </c>
      <c r="C37" s="1" t="s">
        <v>136</v>
      </c>
      <c r="D37" s="1" t="s">
        <v>137</v>
      </c>
      <c r="E37" s="1" t="s">
        <v>138</v>
      </c>
      <c r="F37" s="1" t="s">
        <v>21</v>
      </c>
      <c r="G37" s="1" t="s">
        <v>139</v>
      </c>
      <c r="H37" s="1" t="s">
        <v>15</v>
      </c>
      <c r="I37" s="1">
        <v>37</v>
      </c>
      <c r="J37" s="1" t="s">
        <v>24</v>
      </c>
      <c r="K37" s="1" t="s">
        <v>47</v>
      </c>
    </row>
    <row r="38" spans="2:11" ht="14.25" customHeight="1" x14ac:dyDescent="0.35">
      <c r="B38" s="2">
        <v>44588</v>
      </c>
      <c r="C38" s="1" t="s">
        <v>140</v>
      </c>
      <c r="D38" s="1" t="s">
        <v>141</v>
      </c>
      <c r="E38" s="1" t="s">
        <v>142</v>
      </c>
      <c r="F38" s="1" t="s">
        <v>21</v>
      </c>
      <c r="G38" s="1" t="s">
        <v>143</v>
      </c>
      <c r="H38" s="1" t="s">
        <v>15</v>
      </c>
      <c r="I38" s="1">
        <v>34</v>
      </c>
      <c r="J38" s="1" t="s">
        <v>66</v>
      </c>
      <c r="K38" s="1" t="s">
        <v>17</v>
      </c>
    </row>
    <row r="39" spans="2:11" ht="14.25" customHeight="1" x14ac:dyDescent="0.35">
      <c r="B39" s="2">
        <v>44589</v>
      </c>
      <c r="C39" s="1" t="s">
        <v>144</v>
      </c>
      <c r="D39" s="1" t="s">
        <v>145</v>
      </c>
      <c r="E39" s="1" t="s">
        <v>146</v>
      </c>
      <c r="F39" s="1" t="s">
        <v>13</v>
      </c>
      <c r="G39" s="1" t="s">
        <v>147</v>
      </c>
      <c r="H39" s="1" t="s">
        <v>23</v>
      </c>
      <c r="I39" s="1">
        <v>46</v>
      </c>
      <c r="J39" s="1" t="s">
        <v>16</v>
      </c>
      <c r="K39" s="1" t="s">
        <v>25</v>
      </c>
    </row>
    <row r="40" spans="2:11" ht="14.25" customHeight="1" x14ac:dyDescent="0.35">
      <c r="B40" s="2">
        <v>44591</v>
      </c>
      <c r="C40" s="1" t="s">
        <v>148</v>
      </c>
      <c r="D40" s="1" t="s">
        <v>149</v>
      </c>
      <c r="E40" s="1" t="s">
        <v>810</v>
      </c>
      <c r="F40" s="1" t="s">
        <v>21</v>
      </c>
      <c r="G40" s="1" t="s">
        <v>150</v>
      </c>
      <c r="H40" s="1" t="s">
        <v>15</v>
      </c>
      <c r="I40" s="1">
        <v>68</v>
      </c>
      <c r="J40" s="1" t="s">
        <v>151</v>
      </c>
      <c r="K40" s="1" t="s">
        <v>25</v>
      </c>
    </row>
    <row r="41" spans="2:11" ht="14.25" customHeight="1" x14ac:dyDescent="0.35">
      <c r="B41" s="2">
        <v>44592</v>
      </c>
      <c r="C41" s="1" t="s">
        <v>152</v>
      </c>
      <c r="D41" s="1" t="s">
        <v>68</v>
      </c>
      <c r="E41" s="1" t="s">
        <v>801</v>
      </c>
      <c r="F41" s="1" t="s">
        <v>13</v>
      </c>
      <c r="G41" s="1" t="s">
        <v>69</v>
      </c>
      <c r="H41" s="1" t="s">
        <v>30</v>
      </c>
      <c r="I41" s="1">
        <v>71</v>
      </c>
      <c r="J41" s="1" t="s">
        <v>66</v>
      </c>
      <c r="K41" s="1" t="s">
        <v>32</v>
      </c>
    </row>
    <row r="42" spans="2:11" ht="14.25" customHeight="1" x14ac:dyDescent="0.35">
      <c r="B42" s="2">
        <v>44592</v>
      </c>
      <c r="C42" s="1" t="s">
        <v>153</v>
      </c>
      <c r="D42" s="1" t="s">
        <v>154</v>
      </c>
      <c r="E42" s="1" t="s">
        <v>155</v>
      </c>
      <c r="F42" s="1" t="s">
        <v>21</v>
      </c>
      <c r="G42" s="1" t="s">
        <v>156</v>
      </c>
      <c r="H42" s="1" t="s">
        <v>23</v>
      </c>
      <c r="I42" s="1">
        <v>68</v>
      </c>
      <c r="J42" s="1" t="s">
        <v>16</v>
      </c>
      <c r="K42" s="1" t="s">
        <v>25</v>
      </c>
    </row>
    <row r="43" spans="2:11" ht="14.25" customHeight="1" x14ac:dyDescent="0.35">
      <c r="B43" s="2">
        <v>44592</v>
      </c>
      <c r="C43" s="1" t="s">
        <v>157</v>
      </c>
      <c r="D43" s="1" t="s">
        <v>158</v>
      </c>
      <c r="E43" s="1" t="s">
        <v>159</v>
      </c>
      <c r="F43" s="1" t="s">
        <v>13</v>
      </c>
      <c r="G43" s="1" t="s">
        <v>160</v>
      </c>
      <c r="H43" s="1" t="s">
        <v>23</v>
      </c>
      <c r="I43" s="1">
        <v>60</v>
      </c>
      <c r="J43" s="1" t="s">
        <v>52</v>
      </c>
      <c r="K43" s="1" t="s">
        <v>17</v>
      </c>
    </row>
    <row r="44" spans="2:11" ht="14.25" customHeight="1" x14ac:dyDescent="0.35">
      <c r="B44" s="2">
        <v>44594</v>
      </c>
      <c r="C44" s="1" t="s">
        <v>161</v>
      </c>
      <c r="D44" s="1" t="s">
        <v>162</v>
      </c>
      <c r="E44" s="1" t="s">
        <v>811</v>
      </c>
      <c r="F44" s="1" t="s">
        <v>13</v>
      </c>
      <c r="G44" s="1" t="s">
        <v>163</v>
      </c>
      <c r="H44" s="1" t="s">
        <v>15</v>
      </c>
      <c r="I44" s="1">
        <v>64</v>
      </c>
      <c r="J44" s="1" t="s">
        <v>42</v>
      </c>
      <c r="K44" s="1" t="s">
        <v>17</v>
      </c>
    </row>
    <row r="45" spans="2:11" ht="14.25" customHeight="1" x14ac:dyDescent="0.35">
      <c r="B45" s="2">
        <v>44595</v>
      </c>
      <c r="C45" s="1" t="s">
        <v>164</v>
      </c>
      <c r="D45" s="1" t="s">
        <v>165</v>
      </c>
      <c r="E45" s="1" t="s">
        <v>812</v>
      </c>
      <c r="F45" s="1" t="s">
        <v>21</v>
      </c>
      <c r="G45" s="1" t="s">
        <v>166</v>
      </c>
      <c r="H45" s="1" t="s">
        <v>30</v>
      </c>
      <c r="I45" s="1">
        <v>26</v>
      </c>
      <c r="J45" s="1" t="s">
        <v>167</v>
      </c>
      <c r="K45" s="1" t="s">
        <v>32</v>
      </c>
    </row>
    <row r="46" spans="2:11" ht="14.25" customHeight="1" x14ac:dyDescent="0.35">
      <c r="B46" s="2">
        <v>44596</v>
      </c>
      <c r="C46" s="1" t="s">
        <v>168</v>
      </c>
      <c r="D46" s="1" t="s">
        <v>169</v>
      </c>
      <c r="E46" s="1" t="s">
        <v>170</v>
      </c>
      <c r="F46" s="1" t="s">
        <v>13</v>
      </c>
      <c r="G46" s="1" t="s">
        <v>171</v>
      </c>
      <c r="H46" s="1" t="s">
        <v>30</v>
      </c>
      <c r="I46" s="1">
        <v>29</v>
      </c>
      <c r="J46" s="1" t="s">
        <v>151</v>
      </c>
      <c r="K46" s="1" t="s">
        <v>47</v>
      </c>
    </row>
    <row r="47" spans="2:11" ht="14.25" customHeight="1" x14ac:dyDescent="0.35">
      <c r="B47" s="2">
        <v>44597</v>
      </c>
      <c r="C47" s="1" t="s">
        <v>172</v>
      </c>
      <c r="D47" s="1" t="s">
        <v>173</v>
      </c>
      <c r="E47" s="1" t="s">
        <v>174</v>
      </c>
      <c r="F47" s="1" t="s">
        <v>21</v>
      </c>
      <c r="G47" s="1" t="s">
        <v>175</v>
      </c>
      <c r="H47" s="1" t="s">
        <v>15</v>
      </c>
      <c r="I47" s="1">
        <v>66</v>
      </c>
      <c r="J47" s="1" t="s">
        <v>16</v>
      </c>
      <c r="K47" s="1" t="s">
        <v>25</v>
      </c>
    </row>
    <row r="48" spans="2:11" ht="14.25" customHeight="1" x14ac:dyDescent="0.35">
      <c r="B48" s="2">
        <v>44598</v>
      </c>
      <c r="C48" s="1" t="s">
        <v>176</v>
      </c>
      <c r="D48" s="1" t="s">
        <v>158</v>
      </c>
      <c r="E48" s="1" t="s">
        <v>159</v>
      </c>
      <c r="F48" s="1" t="s">
        <v>13</v>
      </c>
      <c r="G48" s="1" t="s">
        <v>160</v>
      </c>
      <c r="H48" s="1" t="s">
        <v>23</v>
      </c>
      <c r="I48" s="1">
        <v>60</v>
      </c>
      <c r="J48" s="1" t="s">
        <v>66</v>
      </c>
      <c r="K48" s="1" t="s">
        <v>25</v>
      </c>
    </row>
    <row r="49" spans="2:11" ht="14.25" customHeight="1" x14ac:dyDescent="0.35">
      <c r="B49" s="2">
        <v>44598</v>
      </c>
      <c r="C49" s="1" t="s">
        <v>177</v>
      </c>
      <c r="D49" s="1" t="s">
        <v>178</v>
      </c>
      <c r="E49" s="1" t="s">
        <v>179</v>
      </c>
      <c r="F49" s="1" t="s">
        <v>13</v>
      </c>
      <c r="G49" s="1" t="s">
        <v>180</v>
      </c>
      <c r="H49" s="1" t="s">
        <v>30</v>
      </c>
      <c r="I49" s="1">
        <v>63</v>
      </c>
      <c r="J49" s="1" t="s">
        <v>151</v>
      </c>
      <c r="K49" s="1" t="s">
        <v>47</v>
      </c>
    </row>
    <row r="50" spans="2:11" ht="14.25" customHeight="1" x14ac:dyDescent="0.35">
      <c r="B50" s="2">
        <v>44599</v>
      </c>
      <c r="C50" s="1" t="s">
        <v>181</v>
      </c>
      <c r="D50" s="1" t="s">
        <v>165</v>
      </c>
      <c r="E50" s="1" t="s">
        <v>812</v>
      </c>
      <c r="F50" s="1" t="s">
        <v>21</v>
      </c>
      <c r="G50" s="1" t="s">
        <v>166</v>
      </c>
      <c r="H50" s="1" t="s">
        <v>30</v>
      </c>
      <c r="I50" s="1">
        <v>26</v>
      </c>
      <c r="J50" s="1" t="s">
        <v>31</v>
      </c>
      <c r="K50" s="1" t="s">
        <v>17</v>
      </c>
    </row>
    <row r="51" spans="2:11" ht="14.25" customHeight="1" x14ac:dyDescent="0.35">
      <c r="B51" s="2">
        <v>44599</v>
      </c>
      <c r="C51" s="1" t="s">
        <v>182</v>
      </c>
      <c r="D51" s="1" t="s">
        <v>183</v>
      </c>
      <c r="E51" s="1" t="s">
        <v>184</v>
      </c>
      <c r="F51" s="1" t="s">
        <v>21</v>
      </c>
      <c r="G51" s="1" t="s">
        <v>185</v>
      </c>
      <c r="H51" s="1" t="s">
        <v>15</v>
      </c>
      <c r="I51" s="1">
        <v>25</v>
      </c>
      <c r="J51" s="1" t="s">
        <v>16</v>
      </c>
      <c r="K51" s="1" t="s">
        <v>47</v>
      </c>
    </row>
    <row r="52" spans="2:11" ht="14.25" customHeight="1" x14ac:dyDescent="0.35">
      <c r="B52" s="2">
        <v>44599</v>
      </c>
      <c r="C52" s="1" t="s">
        <v>186</v>
      </c>
      <c r="D52" s="1" t="s">
        <v>75</v>
      </c>
      <c r="E52" s="1" t="s">
        <v>76</v>
      </c>
      <c r="F52" s="1" t="s">
        <v>21</v>
      </c>
      <c r="G52" s="1" t="s">
        <v>77</v>
      </c>
      <c r="H52" s="1" t="s">
        <v>30</v>
      </c>
      <c r="I52" s="1">
        <v>19</v>
      </c>
      <c r="J52" s="1" t="s">
        <v>37</v>
      </c>
      <c r="K52" s="1" t="s">
        <v>17</v>
      </c>
    </row>
    <row r="53" spans="2:11" ht="14.25" customHeight="1" x14ac:dyDescent="0.35">
      <c r="B53" s="2">
        <v>44600</v>
      </c>
      <c r="C53" s="1" t="s">
        <v>187</v>
      </c>
      <c r="D53" s="1" t="s">
        <v>188</v>
      </c>
      <c r="E53" s="1" t="s">
        <v>189</v>
      </c>
      <c r="F53" s="1" t="s">
        <v>13</v>
      </c>
      <c r="G53" s="1" t="s">
        <v>190</v>
      </c>
      <c r="H53" s="1" t="s">
        <v>15</v>
      </c>
      <c r="I53" s="1">
        <v>60</v>
      </c>
      <c r="J53" s="1" t="s">
        <v>42</v>
      </c>
      <c r="K53" s="1" t="s">
        <v>61</v>
      </c>
    </row>
    <row r="54" spans="2:11" ht="14.25" customHeight="1" x14ac:dyDescent="0.35">
      <c r="B54" s="2">
        <v>44601</v>
      </c>
      <c r="C54" s="1" t="s">
        <v>191</v>
      </c>
      <c r="D54" s="1" t="s">
        <v>192</v>
      </c>
      <c r="E54" s="1" t="s">
        <v>813</v>
      </c>
      <c r="F54" s="1" t="s">
        <v>13</v>
      </c>
      <c r="G54" s="1" t="s">
        <v>193</v>
      </c>
      <c r="H54" s="1" t="s">
        <v>15</v>
      </c>
      <c r="I54" s="1">
        <v>40</v>
      </c>
      <c r="J54" s="1" t="s">
        <v>31</v>
      </c>
      <c r="K54" s="1" t="s">
        <v>17</v>
      </c>
    </row>
    <row r="55" spans="2:11" ht="14.25" customHeight="1" x14ac:dyDescent="0.35">
      <c r="B55" s="2">
        <v>44601</v>
      </c>
      <c r="C55" s="1" t="s">
        <v>194</v>
      </c>
      <c r="D55" s="1" t="s">
        <v>49</v>
      </c>
      <c r="E55" s="1" t="s">
        <v>50</v>
      </c>
      <c r="F55" s="1" t="s">
        <v>13</v>
      </c>
      <c r="G55" s="1" t="s">
        <v>51</v>
      </c>
      <c r="H55" s="1" t="s">
        <v>15</v>
      </c>
      <c r="I55" s="1">
        <v>61</v>
      </c>
      <c r="J55" s="1" t="s">
        <v>24</v>
      </c>
      <c r="K55" s="1" t="s">
        <v>47</v>
      </c>
    </row>
    <row r="56" spans="2:11" ht="14.25" customHeight="1" x14ac:dyDescent="0.35">
      <c r="B56" s="2">
        <v>44603</v>
      </c>
      <c r="C56" s="1" t="s">
        <v>195</v>
      </c>
      <c r="D56" s="1" t="s">
        <v>196</v>
      </c>
      <c r="E56" s="1" t="s">
        <v>197</v>
      </c>
      <c r="F56" s="1" t="s">
        <v>13</v>
      </c>
      <c r="G56" s="1" t="s">
        <v>198</v>
      </c>
      <c r="H56" s="1" t="s">
        <v>30</v>
      </c>
      <c r="I56" s="1">
        <v>39</v>
      </c>
      <c r="J56" s="1" t="s">
        <v>57</v>
      </c>
      <c r="K56" s="1" t="s">
        <v>47</v>
      </c>
    </row>
    <row r="57" spans="2:11" ht="14.25" customHeight="1" x14ac:dyDescent="0.35">
      <c r="B57" s="2">
        <v>44603</v>
      </c>
      <c r="C57" s="1" t="s">
        <v>199</v>
      </c>
      <c r="D57" s="1" t="s">
        <v>200</v>
      </c>
      <c r="E57" s="1" t="s">
        <v>201</v>
      </c>
      <c r="F57" s="1" t="s">
        <v>21</v>
      </c>
      <c r="G57" s="1" t="s">
        <v>202</v>
      </c>
      <c r="H57" s="1" t="s">
        <v>23</v>
      </c>
      <c r="I57" s="1">
        <v>48</v>
      </c>
      <c r="J57" s="1" t="s">
        <v>16</v>
      </c>
      <c r="K57" s="1" t="s">
        <v>47</v>
      </c>
    </row>
    <row r="58" spans="2:11" ht="14.25" customHeight="1" x14ac:dyDescent="0.35">
      <c r="B58" s="2">
        <v>44603</v>
      </c>
      <c r="C58" s="1" t="s">
        <v>203</v>
      </c>
      <c r="D58" s="1" t="s">
        <v>68</v>
      </c>
      <c r="E58" s="1" t="s">
        <v>801</v>
      </c>
      <c r="F58" s="1" t="s">
        <v>13</v>
      </c>
      <c r="G58" s="1" t="s">
        <v>69</v>
      </c>
      <c r="H58" s="1" t="s">
        <v>30</v>
      </c>
      <c r="I58" s="1">
        <v>71</v>
      </c>
      <c r="J58" s="1" t="s">
        <v>57</v>
      </c>
      <c r="K58" s="1" t="s">
        <v>61</v>
      </c>
    </row>
    <row r="59" spans="2:11" ht="14.25" customHeight="1" x14ac:dyDescent="0.35">
      <c r="B59" s="2">
        <v>44604</v>
      </c>
      <c r="C59" s="1" t="s">
        <v>204</v>
      </c>
      <c r="D59" s="1" t="s">
        <v>205</v>
      </c>
      <c r="E59" s="1" t="s">
        <v>206</v>
      </c>
      <c r="F59" s="1" t="s">
        <v>13</v>
      </c>
      <c r="G59" s="1" t="s">
        <v>207</v>
      </c>
      <c r="H59" s="1" t="s">
        <v>15</v>
      </c>
      <c r="I59" s="1">
        <v>39</v>
      </c>
      <c r="J59" s="1" t="s">
        <v>42</v>
      </c>
      <c r="K59" s="1" t="s">
        <v>47</v>
      </c>
    </row>
    <row r="60" spans="2:11" ht="14.25" customHeight="1" x14ac:dyDescent="0.35">
      <c r="B60" s="2">
        <v>44604</v>
      </c>
      <c r="C60" s="1" t="s">
        <v>208</v>
      </c>
      <c r="D60" s="1" t="s">
        <v>209</v>
      </c>
      <c r="E60" s="1" t="s">
        <v>814</v>
      </c>
      <c r="F60" s="1" t="s">
        <v>21</v>
      </c>
      <c r="G60" s="1" t="s">
        <v>210</v>
      </c>
      <c r="H60" s="1" t="s">
        <v>23</v>
      </c>
      <c r="I60" s="1">
        <v>39</v>
      </c>
      <c r="J60" s="1" t="s">
        <v>37</v>
      </c>
      <c r="K60" s="1" t="s">
        <v>47</v>
      </c>
    </row>
    <row r="61" spans="2:11" ht="14.25" customHeight="1" x14ac:dyDescent="0.35">
      <c r="B61" s="2">
        <v>44604</v>
      </c>
      <c r="C61" s="1" t="s">
        <v>211</v>
      </c>
      <c r="D61" s="1" t="s">
        <v>54</v>
      </c>
      <c r="E61" s="1" t="s">
        <v>55</v>
      </c>
      <c r="F61" s="1" t="s">
        <v>21</v>
      </c>
      <c r="G61" s="1" t="s">
        <v>56</v>
      </c>
      <c r="H61" s="1" t="s">
        <v>23</v>
      </c>
      <c r="I61" s="1">
        <v>28</v>
      </c>
      <c r="J61" s="1" t="s">
        <v>57</v>
      </c>
      <c r="K61" s="1" t="s">
        <v>17</v>
      </c>
    </row>
    <row r="62" spans="2:11" ht="14.25" customHeight="1" x14ac:dyDescent="0.35">
      <c r="B62" s="2">
        <v>44605</v>
      </c>
      <c r="C62" s="1" t="s">
        <v>212</v>
      </c>
      <c r="D62" s="1" t="s">
        <v>75</v>
      </c>
      <c r="E62" s="1" t="s">
        <v>76</v>
      </c>
      <c r="F62" s="1" t="s">
        <v>21</v>
      </c>
      <c r="G62" s="1" t="s">
        <v>77</v>
      </c>
      <c r="H62" s="1" t="s">
        <v>30</v>
      </c>
      <c r="I62" s="1">
        <v>19</v>
      </c>
      <c r="J62" s="1" t="s">
        <v>52</v>
      </c>
      <c r="K62" s="1" t="s">
        <v>61</v>
      </c>
    </row>
    <row r="63" spans="2:11" ht="14.25" customHeight="1" x14ac:dyDescent="0.35">
      <c r="B63" s="2">
        <v>44605</v>
      </c>
      <c r="C63" s="1" t="s">
        <v>213</v>
      </c>
      <c r="D63" s="1" t="s">
        <v>214</v>
      </c>
      <c r="E63" s="1" t="s">
        <v>215</v>
      </c>
      <c r="F63" s="1" t="s">
        <v>21</v>
      </c>
      <c r="G63" s="1" t="s">
        <v>216</v>
      </c>
      <c r="H63" s="1" t="s">
        <v>30</v>
      </c>
      <c r="I63" s="1">
        <v>29</v>
      </c>
      <c r="J63" s="1" t="s">
        <v>31</v>
      </c>
      <c r="K63" s="1" t="s">
        <v>25</v>
      </c>
    </row>
    <row r="64" spans="2:11" ht="14.25" customHeight="1" x14ac:dyDescent="0.35">
      <c r="B64" s="2">
        <v>44606</v>
      </c>
      <c r="C64" s="1" t="s">
        <v>217</v>
      </c>
      <c r="D64" s="1" t="s">
        <v>218</v>
      </c>
      <c r="E64" s="1" t="s">
        <v>815</v>
      </c>
      <c r="F64" s="1" t="s">
        <v>13</v>
      </c>
      <c r="G64" s="1" t="s">
        <v>219</v>
      </c>
      <c r="H64" s="1" t="s">
        <v>15</v>
      </c>
      <c r="I64" s="1">
        <v>46</v>
      </c>
      <c r="J64" s="1" t="s">
        <v>151</v>
      </c>
      <c r="K64" s="1" t="s">
        <v>61</v>
      </c>
    </row>
    <row r="65" spans="2:11" ht="14.25" customHeight="1" x14ac:dyDescent="0.35">
      <c r="B65" s="2">
        <v>44607</v>
      </c>
      <c r="C65" s="1" t="s">
        <v>220</v>
      </c>
      <c r="D65" s="1" t="s">
        <v>178</v>
      </c>
      <c r="E65" s="1" t="s">
        <v>179</v>
      </c>
      <c r="F65" s="1" t="s">
        <v>13</v>
      </c>
      <c r="G65" s="1" t="s">
        <v>180</v>
      </c>
      <c r="H65" s="1" t="s">
        <v>30</v>
      </c>
      <c r="I65" s="1">
        <v>63</v>
      </c>
      <c r="J65" s="1" t="s">
        <v>52</v>
      </c>
      <c r="K65" s="1" t="s">
        <v>17</v>
      </c>
    </row>
    <row r="66" spans="2:11" ht="14.25" customHeight="1" x14ac:dyDescent="0.35">
      <c r="B66" s="2">
        <v>44607</v>
      </c>
      <c r="C66" s="1" t="s">
        <v>221</v>
      </c>
      <c r="D66" s="1" t="s">
        <v>34</v>
      </c>
      <c r="E66" s="1" t="s">
        <v>35</v>
      </c>
      <c r="F66" s="1" t="s">
        <v>13</v>
      </c>
      <c r="G66" s="1" t="s">
        <v>36</v>
      </c>
      <c r="H66" s="1" t="s">
        <v>23</v>
      </c>
      <c r="I66" s="1">
        <v>61</v>
      </c>
      <c r="J66" s="1" t="s">
        <v>16</v>
      </c>
      <c r="K66" s="1" t="s">
        <v>32</v>
      </c>
    </row>
    <row r="67" spans="2:11" ht="14.25" customHeight="1" x14ac:dyDescent="0.35">
      <c r="B67" s="2">
        <v>44607</v>
      </c>
      <c r="C67" s="1" t="s">
        <v>222</v>
      </c>
      <c r="D67" s="1" t="s">
        <v>223</v>
      </c>
      <c r="E67" s="1" t="s">
        <v>224</v>
      </c>
      <c r="F67" s="1" t="s">
        <v>21</v>
      </c>
      <c r="G67" s="1" t="s">
        <v>225</v>
      </c>
      <c r="H67" s="1" t="s">
        <v>30</v>
      </c>
      <c r="I67" s="1">
        <v>68</v>
      </c>
      <c r="J67" s="1" t="s">
        <v>31</v>
      </c>
      <c r="K67" s="1" t="s">
        <v>47</v>
      </c>
    </row>
    <row r="68" spans="2:11" ht="14.25" customHeight="1" x14ac:dyDescent="0.35">
      <c r="B68" s="2">
        <v>44607</v>
      </c>
      <c r="C68" s="1" t="s">
        <v>226</v>
      </c>
      <c r="D68" s="1" t="s">
        <v>111</v>
      </c>
      <c r="E68" s="1" t="s">
        <v>112</v>
      </c>
      <c r="F68" s="1" t="s">
        <v>21</v>
      </c>
      <c r="G68" s="1" t="s">
        <v>113</v>
      </c>
      <c r="H68" s="1" t="s">
        <v>23</v>
      </c>
      <c r="I68" s="1">
        <v>58</v>
      </c>
      <c r="J68" s="1" t="s">
        <v>37</v>
      </c>
      <c r="K68" s="1" t="s">
        <v>61</v>
      </c>
    </row>
    <row r="69" spans="2:11" ht="14.25" customHeight="1" x14ac:dyDescent="0.35">
      <c r="B69" s="2">
        <v>44607</v>
      </c>
      <c r="C69" s="1" t="s">
        <v>227</v>
      </c>
      <c r="D69" s="1" t="s">
        <v>34</v>
      </c>
      <c r="E69" s="1" t="s">
        <v>35</v>
      </c>
      <c r="F69" s="1" t="s">
        <v>13</v>
      </c>
      <c r="G69" s="1" t="s">
        <v>36</v>
      </c>
      <c r="H69" s="1" t="s">
        <v>23</v>
      </c>
      <c r="I69" s="1">
        <v>61</v>
      </c>
      <c r="J69" s="1" t="s">
        <v>167</v>
      </c>
      <c r="K69" s="1" t="s">
        <v>25</v>
      </c>
    </row>
    <row r="70" spans="2:11" ht="14.25" customHeight="1" x14ac:dyDescent="0.35">
      <c r="B70" s="2">
        <v>44607</v>
      </c>
      <c r="C70" s="1" t="s">
        <v>228</v>
      </c>
      <c r="D70" s="1" t="s">
        <v>205</v>
      </c>
      <c r="E70" s="1" t="s">
        <v>206</v>
      </c>
      <c r="F70" s="1" t="s">
        <v>13</v>
      </c>
      <c r="G70" s="1" t="s">
        <v>207</v>
      </c>
      <c r="H70" s="1" t="s">
        <v>15</v>
      </c>
      <c r="I70" s="1">
        <v>39</v>
      </c>
      <c r="J70" s="1" t="s">
        <v>16</v>
      </c>
      <c r="K70" s="1" t="s">
        <v>25</v>
      </c>
    </row>
    <row r="71" spans="2:11" ht="14.25" customHeight="1" x14ac:dyDescent="0.35">
      <c r="B71" s="2">
        <v>44607</v>
      </c>
      <c r="C71" s="1" t="s">
        <v>229</v>
      </c>
      <c r="D71" s="1" t="s">
        <v>223</v>
      </c>
      <c r="E71" s="1" t="s">
        <v>224</v>
      </c>
      <c r="F71" s="1" t="s">
        <v>21</v>
      </c>
      <c r="G71" s="1" t="s">
        <v>225</v>
      </c>
      <c r="H71" s="1" t="s">
        <v>30</v>
      </c>
      <c r="I71" s="1">
        <v>68</v>
      </c>
      <c r="J71" s="1" t="s">
        <v>66</v>
      </c>
      <c r="K71" s="1" t="s">
        <v>25</v>
      </c>
    </row>
    <row r="72" spans="2:11" ht="14.25" customHeight="1" x14ac:dyDescent="0.35">
      <c r="B72" s="2">
        <v>44608</v>
      </c>
      <c r="C72" s="1" t="s">
        <v>230</v>
      </c>
      <c r="D72" s="1" t="s">
        <v>158</v>
      </c>
      <c r="E72" s="1" t="s">
        <v>159</v>
      </c>
      <c r="F72" s="1" t="s">
        <v>13</v>
      </c>
      <c r="G72" s="1" t="s">
        <v>160</v>
      </c>
      <c r="H72" s="1" t="s">
        <v>23</v>
      </c>
      <c r="I72" s="1">
        <v>60</v>
      </c>
      <c r="J72" s="1" t="s">
        <v>24</v>
      </c>
      <c r="K72" s="1" t="s">
        <v>25</v>
      </c>
    </row>
    <row r="73" spans="2:11" ht="14.25" customHeight="1" x14ac:dyDescent="0.35">
      <c r="B73" s="2">
        <v>44608</v>
      </c>
      <c r="C73" s="1" t="s">
        <v>231</v>
      </c>
      <c r="D73" s="1" t="s">
        <v>232</v>
      </c>
      <c r="E73" s="1" t="s">
        <v>816</v>
      </c>
      <c r="F73" s="1" t="s">
        <v>21</v>
      </c>
      <c r="G73" s="1" t="s">
        <v>233</v>
      </c>
      <c r="H73" s="1" t="s">
        <v>15</v>
      </c>
      <c r="I73" s="1">
        <v>23</v>
      </c>
      <c r="J73" s="1" t="s">
        <v>37</v>
      </c>
      <c r="K73" s="1" t="s">
        <v>17</v>
      </c>
    </row>
    <row r="74" spans="2:11" ht="14.25" customHeight="1" x14ac:dyDescent="0.35">
      <c r="B74" s="2">
        <v>44609</v>
      </c>
      <c r="C74" s="1" t="s">
        <v>234</v>
      </c>
      <c r="D74" s="1" t="s">
        <v>107</v>
      </c>
      <c r="E74" s="1" t="s">
        <v>807</v>
      </c>
      <c r="F74" s="1" t="s">
        <v>21</v>
      </c>
      <c r="G74" s="1" t="s">
        <v>108</v>
      </c>
      <c r="H74" s="1" t="s">
        <v>15</v>
      </c>
      <c r="I74" s="1">
        <v>73</v>
      </c>
      <c r="J74" s="1" t="s">
        <v>42</v>
      </c>
      <c r="K74" s="1" t="s">
        <v>61</v>
      </c>
    </row>
    <row r="75" spans="2:11" ht="14.25" customHeight="1" x14ac:dyDescent="0.35">
      <c r="B75" s="2">
        <v>44609</v>
      </c>
      <c r="C75" s="1" t="s">
        <v>235</v>
      </c>
      <c r="D75" s="1" t="s">
        <v>71</v>
      </c>
      <c r="E75" s="1" t="s">
        <v>802</v>
      </c>
      <c r="F75" s="1" t="s">
        <v>21</v>
      </c>
      <c r="G75" s="1" t="s">
        <v>72</v>
      </c>
      <c r="H75" s="1" t="s">
        <v>23</v>
      </c>
      <c r="I75" s="1">
        <v>54</v>
      </c>
      <c r="J75" s="1" t="s">
        <v>42</v>
      </c>
      <c r="K75" s="1" t="s">
        <v>17</v>
      </c>
    </row>
    <row r="76" spans="2:11" ht="14.25" customHeight="1" x14ac:dyDescent="0.35">
      <c r="B76" s="2">
        <v>44610</v>
      </c>
      <c r="C76" s="1" t="s">
        <v>236</v>
      </c>
      <c r="D76" s="1" t="s">
        <v>54</v>
      </c>
      <c r="E76" s="1" t="s">
        <v>55</v>
      </c>
      <c r="F76" s="1" t="s">
        <v>21</v>
      </c>
      <c r="G76" s="1" t="s">
        <v>56</v>
      </c>
      <c r="H76" s="1" t="s">
        <v>23</v>
      </c>
      <c r="I76" s="1">
        <v>28</v>
      </c>
      <c r="J76" s="1" t="s">
        <v>16</v>
      </c>
      <c r="K76" s="1" t="s">
        <v>25</v>
      </c>
    </row>
    <row r="77" spans="2:11" ht="14.25" customHeight="1" x14ac:dyDescent="0.35">
      <c r="B77" s="2">
        <v>44610</v>
      </c>
      <c r="C77" s="1" t="s">
        <v>237</v>
      </c>
      <c r="D77" s="1" t="s">
        <v>75</v>
      </c>
      <c r="E77" s="1" t="s">
        <v>76</v>
      </c>
      <c r="F77" s="1" t="s">
        <v>21</v>
      </c>
      <c r="G77" s="1" t="s">
        <v>77</v>
      </c>
      <c r="H77" s="1" t="s">
        <v>30</v>
      </c>
      <c r="I77" s="1">
        <v>19</v>
      </c>
      <c r="J77" s="1" t="s">
        <v>66</v>
      </c>
      <c r="K77" s="1" t="s">
        <v>25</v>
      </c>
    </row>
    <row r="78" spans="2:11" ht="14.25" customHeight="1" x14ac:dyDescent="0.35">
      <c r="B78" s="2">
        <v>44611</v>
      </c>
      <c r="C78" s="1" t="s">
        <v>238</v>
      </c>
      <c r="D78" s="1" t="s">
        <v>223</v>
      </c>
      <c r="E78" s="1" t="s">
        <v>224</v>
      </c>
      <c r="F78" s="1" t="s">
        <v>21</v>
      </c>
      <c r="G78" s="1" t="s">
        <v>225</v>
      </c>
      <c r="H78" s="1" t="s">
        <v>30</v>
      </c>
      <c r="I78" s="1">
        <v>68</v>
      </c>
      <c r="J78" s="1" t="s">
        <v>66</v>
      </c>
      <c r="K78" s="1" t="s">
        <v>61</v>
      </c>
    </row>
    <row r="79" spans="2:11" ht="14.25" customHeight="1" x14ac:dyDescent="0.35">
      <c r="B79" s="2">
        <v>44611</v>
      </c>
      <c r="C79" s="1" t="s">
        <v>239</v>
      </c>
      <c r="D79" s="1" t="s">
        <v>92</v>
      </c>
      <c r="E79" s="1" t="s">
        <v>804</v>
      </c>
      <c r="F79" s="1" t="s">
        <v>21</v>
      </c>
      <c r="G79" s="1" t="s">
        <v>93</v>
      </c>
      <c r="H79" s="1" t="s">
        <v>23</v>
      </c>
      <c r="I79" s="1">
        <v>31</v>
      </c>
      <c r="J79" s="1" t="s">
        <v>42</v>
      </c>
      <c r="K79" s="1" t="s">
        <v>47</v>
      </c>
    </row>
    <row r="80" spans="2:11" ht="14.25" customHeight="1" x14ac:dyDescent="0.35">
      <c r="B80" s="2">
        <v>44612</v>
      </c>
      <c r="C80" s="1" t="s">
        <v>240</v>
      </c>
      <c r="D80" s="1" t="s">
        <v>241</v>
      </c>
      <c r="E80" s="1" t="s">
        <v>817</v>
      </c>
      <c r="F80" s="1" t="s">
        <v>21</v>
      </c>
      <c r="G80" s="1" t="s">
        <v>242</v>
      </c>
      <c r="H80" s="1" t="s">
        <v>30</v>
      </c>
      <c r="I80" s="1">
        <v>31</v>
      </c>
      <c r="J80" s="1" t="s">
        <v>31</v>
      </c>
      <c r="K80" s="1" t="s">
        <v>25</v>
      </c>
    </row>
    <row r="81" spans="2:11" ht="14.25" customHeight="1" x14ac:dyDescent="0.35">
      <c r="B81" s="2">
        <v>44613</v>
      </c>
      <c r="C81" s="1" t="s">
        <v>243</v>
      </c>
      <c r="D81" s="1" t="s">
        <v>244</v>
      </c>
      <c r="E81" s="1" t="s">
        <v>245</v>
      </c>
      <c r="F81" s="1" t="s">
        <v>21</v>
      </c>
      <c r="G81" s="1" t="s">
        <v>246</v>
      </c>
      <c r="H81" s="1" t="s">
        <v>15</v>
      </c>
      <c r="I81" s="1">
        <v>29</v>
      </c>
      <c r="J81" s="1" t="s">
        <v>151</v>
      </c>
      <c r="K81" s="1" t="s">
        <v>47</v>
      </c>
    </row>
    <row r="82" spans="2:11" ht="14.25" customHeight="1" x14ac:dyDescent="0.35">
      <c r="B82" s="2">
        <v>44614</v>
      </c>
      <c r="C82" s="1" t="s">
        <v>247</v>
      </c>
      <c r="D82" s="1" t="s">
        <v>145</v>
      </c>
      <c r="E82" s="1" t="s">
        <v>146</v>
      </c>
      <c r="F82" s="1" t="s">
        <v>13</v>
      </c>
      <c r="G82" s="1" t="s">
        <v>147</v>
      </c>
      <c r="H82" s="1" t="s">
        <v>23</v>
      </c>
      <c r="I82" s="1">
        <v>46</v>
      </c>
      <c r="J82" s="1" t="s">
        <v>37</v>
      </c>
      <c r="K82" s="1" t="s">
        <v>25</v>
      </c>
    </row>
    <row r="83" spans="2:11" ht="14.25" customHeight="1" x14ac:dyDescent="0.35">
      <c r="B83" s="2">
        <v>44614</v>
      </c>
      <c r="C83" s="1" t="s">
        <v>248</v>
      </c>
      <c r="D83" s="1" t="s">
        <v>59</v>
      </c>
      <c r="E83" s="1" t="s">
        <v>800</v>
      </c>
      <c r="F83" s="1" t="s">
        <v>13</v>
      </c>
      <c r="G83" s="1" t="s">
        <v>60</v>
      </c>
      <c r="H83" s="1" t="s">
        <v>15</v>
      </c>
      <c r="I83" s="1">
        <v>48</v>
      </c>
      <c r="J83" s="1" t="s">
        <v>57</v>
      </c>
      <c r="K83" s="1" t="s">
        <v>32</v>
      </c>
    </row>
    <row r="84" spans="2:11" ht="14.25" customHeight="1" x14ac:dyDescent="0.35">
      <c r="B84" s="2">
        <v>44614</v>
      </c>
      <c r="C84" s="1" t="s">
        <v>249</v>
      </c>
      <c r="D84" s="1" t="s">
        <v>250</v>
      </c>
      <c r="E84" s="1" t="s">
        <v>251</v>
      </c>
      <c r="F84" s="1" t="s">
        <v>21</v>
      </c>
      <c r="G84" s="1" t="s">
        <v>252</v>
      </c>
      <c r="H84" s="1" t="s">
        <v>15</v>
      </c>
      <c r="I84" s="1">
        <v>35</v>
      </c>
      <c r="J84" s="1" t="s">
        <v>151</v>
      </c>
      <c r="K84" s="1" t="s">
        <v>17</v>
      </c>
    </row>
    <row r="85" spans="2:11" ht="14.25" customHeight="1" x14ac:dyDescent="0.35">
      <c r="B85" s="2">
        <v>44614</v>
      </c>
      <c r="C85" s="1" t="s">
        <v>253</v>
      </c>
      <c r="D85" s="1" t="s">
        <v>75</v>
      </c>
      <c r="E85" s="1" t="s">
        <v>76</v>
      </c>
      <c r="F85" s="1" t="s">
        <v>21</v>
      </c>
      <c r="G85" s="1" t="s">
        <v>77</v>
      </c>
      <c r="H85" s="1" t="s">
        <v>30</v>
      </c>
      <c r="I85" s="1">
        <v>19</v>
      </c>
      <c r="J85" s="1" t="s">
        <v>52</v>
      </c>
      <c r="K85" s="1" t="s">
        <v>25</v>
      </c>
    </row>
    <row r="86" spans="2:11" ht="14.25" customHeight="1" x14ac:dyDescent="0.35">
      <c r="B86" s="2">
        <v>44617</v>
      </c>
      <c r="C86" s="1" t="s">
        <v>254</v>
      </c>
      <c r="D86" s="1" t="s">
        <v>255</v>
      </c>
      <c r="E86" s="1" t="s">
        <v>256</v>
      </c>
      <c r="F86" s="1" t="s">
        <v>13</v>
      </c>
      <c r="G86" s="1" t="s">
        <v>257</v>
      </c>
      <c r="H86" s="1" t="s">
        <v>15</v>
      </c>
      <c r="I86" s="1">
        <v>19</v>
      </c>
      <c r="J86" s="1" t="s">
        <v>24</v>
      </c>
      <c r="K86" s="1" t="s">
        <v>61</v>
      </c>
    </row>
    <row r="87" spans="2:11" ht="14.25" customHeight="1" x14ac:dyDescent="0.35">
      <c r="B87" s="2">
        <v>44617</v>
      </c>
      <c r="C87" s="1" t="s">
        <v>258</v>
      </c>
      <c r="D87" s="1" t="s">
        <v>259</v>
      </c>
      <c r="E87" s="1" t="s">
        <v>818</v>
      </c>
      <c r="F87" s="1" t="s">
        <v>21</v>
      </c>
      <c r="G87" s="1" t="s">
        <v>260</v>
      </c>
      <c r="H87" s="1" t="s">
        <v>30</v>
      </c>
      <c r="I87" s="1">
        <v>45</v>
      </c>
      <c r="J87" s="1" t="s">
        <v>31</v>
      </c>
      <c r="K87" s="1" t="s">
        <v>25</v>
      </c>
    </row>
    <row r="88" spans="2:11" ht="14.25" customHeight="1" x14ac:dyDescent="0.35">
      <c r="B88" s="2">
        <v>44618</v>
      </c>
      <c r="C88" s="1" t="s">
        <v>261</v>
      </c>
      <c r="D88" s="1" t="s">
        <v>162</v>
      </c>
      <c r="E88" s="1" t="s">
        <v>811</v>
      </c>
      <c r="F88" s="1" t="s">
        <v>13</v>
      </c>
      <c r="G88" s="1" t="s">
        <v>163</v>
      </c>
      <c r="H88" s="1" t="s">
        <v>15</v>
      </c>
      <c r="I88" s="1">
        <v>64</v>
      </c>
      <c r="J88" s="1" t="s">
        <v>167</v>
      </c>
      <c r="K88" s="1" t="s">
        <v>25</v>
      </c>
    </row>
    <row r="89" spans="2:11" ht="14.25" customHeight="1" x14ac:dyDescent="0.35">
      <c r="B89" s="2">
        <v>44618</v>
      </c>
      <c r="C89" s="1" t="s">
        <v>262</v>
      </c>
      <c r="D89" s="1" t="s">
        <v>244</v>
      </c>
      <c r="E89" s="1" t="s">
        <v>245</v>
      </c>
      <c r="F89" s="1" t="s">
        <v>21</v>
      </c>
      <c r="G89" s="1" t="s">
        <v>246</v>
      </c>
      <c r="H89" s="1" t="s">
        <v>15</v>
      </c>
      <c r="I89" s="1">
        <v>29</v>
      </c>
      <c r="J89" s="1" t="s">
        <v>52</v>
      </c>
      <c r="K89" s="1" t="s">
        <v>25</v>
      </c>
    </row>
    <row r="90" spans="2:11" ht="14.25" customHeight="1" x14ac:dyDescent="0.35">
      <c r="B90" s="2">
        <v>44618</v>
      </c>
      <c r="C90" s="1" t="s">
        <v>263</v>
      </c>
      <c r="D90" s="1" t="s">
        <v>107</v>
      </c>
      <c r="E90" s="1" t="s">
        <v>807</v>
      </c>
      <c r="F90" s="1" t="s">
        <v>21</v>
      </c>
      <c r="G90" s="1" t="s">
        <v>108</v>
      </c>
      <c r="H90" s="1" t="s">
        <v>15</v>
      </c>
      <c r="I90" s="1">
        <v>73</v>
      </c>
      <c r="J90" s="1" t="s">
        <v>52</v>
      </c>
      <c r="K90" s="1" t="s">
        <v>17</v>
      </c>
    </row>
    <row r="91" spans="2:11" ht="14.25" customHeight="1" x14ac:dyDescent="0.35">
      <c r="B91" s="2">
        <v>44620</v>
      </c>
      <c r="C91" s="1" t="s">
        <v>264</v>
      </c>
      <c r="D91" s="1" t="s">
        <v>265</v>
      </c>
      <c r="E91" s="1" t="s">
        <v>266</v>
      </c>
      <c r="F91" s="1" t="s">
        <v>13</v>
      </c>
      <c r="G91" s="1" t="s">
        <v>267</v>
      </c>
      <c r="H91" s="1" t="s">
        <v>15</v>
      </c>
      <c r="I91" s="1">
        <v>72</v>
      </c>
      <c r="J91" s="1" t="s">
        <v>52</v>
      </c>
      <c r="K91" s="1" t="s">
        <v>32</v>
      </c>
    </row>
    <row r="92" spans="2:11" ht="14.25" customHeight="1" x14ac:dyDescent="0.35">
      <c r="B92" s="2">
        <v>44621</v>
      </c>
      <c r="C92" s="1" t="s">
        <v>268</v>
      </c>
      <c r="D92" s="1" t="s">
        <v>269</v>
      </c>
      <c r="E92" s="1" t="s">
        <v>819</v>
      </c>
      <c r="F92" s="1" t="s">
        <v>13</v>
      </c>
      <c r="G92" s="1" t="s">
        <v>270</v>
      </c>
      <c r="H92" s="1" t="s">
        <v>15</v>
      </c>
      <c r="I92" s="1">
        <v>40</v>
      </c>
      <c r="J92" s="1" t="s">
        <v>151</v>
      </c>
      <c r="K92" s="1" t="s">
        <v>61</v>
      </c>
    </row>
    <row r="93" spans="2:11" ht="14.25" customHeight="1" x14ac:dyDescent="0.35">
      <c r="B93" s="2">
        <v>44623</v>
      </c>
      <c r="C93" s="1" t="s">
        <v>271</v>
      </c>
      <c r="D93" s="1" t="s">
        <v>272</v>
      </c>
      <c r="E93" s="1" t="s">
        <v>820</v>
      </c>
      <c r="F93" s="1" t="s">
        <v>13</v>
      </c>
      <c r="G93" s="1" t="s">
        <v>273</v>
      </c>
      <c r="H93" s="1" t="s">
        <v>15</v>
      </c>
      <c r="I93" s="1">
        <v>44</v>
      </c>
      <c r="J93" s="1" t="s">
        <v>37</v>
      </c>
      <c r="K93" s="1" t="s">
        <v>25</v>
      </c>
    </row>
    <row r="94" spans="2:11" ht="14.25" customHeight="1" x14ac:dyDescent="0.35">
      <c r="B94" s="2">
        <v>44623</v>
      </c>
      <c r="C94" s="1" t="s">
        <v>274</v>
      </c>
      <c r="D94" s="1" t="s">
        <v>275</v>
      </c>
      <c r="E94" s="1" t="s">
        <v>276</v>
      </c>
      <c r="F94" s="1" t="s">
        <v>13</v>
      </c>
      <c r="G94" s="1" t="s">
        <v>277</v>
      </c>
      <c r="H94" s="1" t="s">
        <v>30</v>
      </c>
      <c r="I94" s="1">
        <v>64</v>
      </c>
      <c r="J94" s="1" t="s">
        <v>66</v>
      </c>
      <c r="K94" s="1" t="s">
        <v>47</v>
      </c>
    </row>
    <row r="95" spans="2:11" ht="14.25" customHeight="1" x14ac:dyDescent="0.35">
      <c r="B95" s="2">
        <v>44623</v>
      </c>
      <c r="C95" s="1" t="s">
        <v>278</v>
      </c>
      <c r="D95" s="1" t="s">
        <v>178</v>
      </c>
      <c r="E95" s="1" t="s">
        <v>179</v>
      </c>
      <c r="F95" s="1" t="s">
        <v>13</v>
      </c>
      <c r="G95" s="1" t="s">
        <v>180</v>
      </c>
      <c r="H95" s="1" t="s">
        <v>30</v>
      </c>
      <c r="I95" s="1">
        <v>63</v>
      </c>
      <c r="J95" s="1" t="s">
        <v>42</v>
      </c>
      <c r="K95" s="1" t="s">
        <v>47</v>
      </c>
    </row>
    <row r="96" spans="2:11" ht="14.25" customHeight="1" x14ac:dyDescent="0.35">
      <c r="B96" s="2">
        <v>44623</v>
      </c>
      <c r="C96" s="1" t="s">
        <v>279</v>
      </c>
      <c r="D96" s="1" t="s">
        <v>209</v>
      </c>
      <c r="E96" s="1" t="s">
        <v>814</v>
      </c>
      <c r="F96" s="1" t="s">
        <v>21</v>
      </c>
      <c r="G96" s="1" t="s">
        <v>210</v>
      </c>
      <c r="H96" s="1" t="s">
        <v>23</v>
      </c>
      <c r="I96" s="1">
        <v>39</v>
      </c>
      <c r="J96" s="1" t="s">
        <v>57</v>
      </c>
      <c r="K96" s="1" t="s">
        <v>61</v>
      </c>
    </row>
    <row r="97" spans="2:11" ht="14.25" customHeight="1" x14ac:dyDescent="0.35">
      <c r="B97" s="2">
        <v>44624</v>
      </c>
      <c r="C97" s="1" t="s">
        <v>280</v>
      </c>
      <c r="D97" s="1" t="s">
        <v>281</v>
      </c>
      <c r="E97" s="1" t="s">
        <v>282</v>
      </c>
      <c r="F97" s="1" t="s">
        <v>21</v>
      </c>
      <c r="G97" s="1" t="s">
        <v>283</v>
      </c>
      <c r="H97" s="1" t="s">
        <v>30</v>
      </c>
      <c r="I97" s="1">
        <v>40</v>
      </c>
      <c r="J97" s="1" t="s">
        <v>52</v>
      </c>
      <c r="K97" s="1" t="s">
        <v>17</v>
      </c>
    </row>
    <row r="98" spans="2:11" ht="14.25" customHeight="1" x14ac:dyDescent="0.35">
      <c r="B98" s="2">
        <v>44624</v>
      </c>
      <c r="C98" s="1" t="s">
        <v>284</v>
      </c>
      <c r="D98" s="1" t="s">
        <v>100</v>
      </c>
      <c r="E98" s="1" t="s">
        <v>101</v>
      </c>
      <c r="F98" s="1" t="s">
        <v>13</v>
      </c>
      <c r="G98" s="1" t="s">
        <v>102</v>
      </c>
      <c r="H98" s="1" t="s">
        <v>15</v>
      </c>
      <c r="I98" s="1">
        <v>59</v>
      </c>
      <c r="J98" s="1" t="s">
        <v>52</v>
      </c>
      <c r="K98" s="1" t="s">
        <v>17</v>
      </c>
    </row>
    <row r="99" spans="2:11" ht="14.25" customHeight="1" x14ac:dyDescent="0.35">
      <c r="B99" s="2">
        <v>44624</v>
      </c>
      <c r="C99" s="1" t="s">
        <v>285</v>
      </c>
      <c r="D99" s="1" t="s">
        <v>59</v>
      </c>
      <c r="E99" s="1" t="s">
        <v>800</v>
      </c>
      <c r="F99" s="1" t="s">
        <v>13</v>
      </c>
      <c r="G99" s="1" t="s">
        <v>60</v>
      </c>
      <c r="H99" s="1" t="s">
        <v>15</v>
      </c>
      <c r="I99" s="1">
        <v>48</v>
      </c>
      <c r="J99" s="1" t="s">
        <v>42</v>
      </c>
      <c r="K99" s="1" t="s">
        <v>47</v>
      </c>
    </row>
    <row r="100" spans="2:11" ht="14.25" customHeight="1" x14ac:dyDescent="0.35">
      <c r="B100" s="2">
        <v>44626</v>
      </c>
      <c r="C100" s="1" t="s">
        <v>286</v>
      </c>
      <c r="D100" s="1" t="s">
        <v>11</v>
      </c>
      <c r="E100" s="1" t="s">
        <v>12</v>
      </c>
      <c r="F100" s="1" t="s">
        <v>13</v>
      </c>
      <c r="G100" s="1" t="s">
        <v>14</v>
      </c>
      <c r="H100" s="1" t="s">
        <v>15</v>
      </c>
      <c r="I100" s="1">
        <v>41</v>
      </c>
      <c r="J100" s="1" t="s">
        <v>24</v>
      </c>
      <c r="K100" s="1" t="s">
        <v>17</v>
      </c>
    </row>
    <row r="101" spans="2:11" ht="14.25" customHeight="1" x14ac:dyDescent="0.35">
      <c r="B101" s="2">
        <v>44626</v>
      </c>
      <c r="C101" s="1" t="s">
        <v>287</v>
      </c>
      <c r="D101" s="1" t="s">
        <v>196</v>
      </c>
      <c r="E101" s="1" t="s">
        <v>197</v>
      </c>
      <c r="F101" s="1" t="s">
        <v>13</v>
      </c>
      <c r="G101" s="1" t="s">
        <v>198</v>
      </c>
      <c r="H101" s="1" t="s">
        <v>30</v>
      </c>
      <c r="I101" s="1">
        <v>39</v>
      </c>
      <c r="J101" s="1" t="s">
        <v>66</v>
      </c>
      <c r="K101" s="1" t="s">
        <v>61</v>
      </c>
    </row>
    <row r="102" spans="2:11" ht="14.25" customHeight="1" x14ac:dyDescent="0.35">
      <c r="B102" s="2">
        <v>44628</v>
      </c>
      <c r="C102" s="1" t="s">
        <v>288</v>
      </c>
      <c r="D102" s="1" t="s">
        <v>289</v>
      </c>
      <c r="E102" s="1" t="s">
        <v>821</v>
      </c>
      <c r="F102" s="1" t="s">
        <v>21</v>
      </c>
      <c r="G102" s="1" t="s">
        <v>290</v>
      </c>
      <c r="H102" s="1" t="s">
        <v>15</v>
      </c>
      <c r="I102" s="1">
        <v>65</v>
      </c>
      <c r="J102" s="1" t="s">
        <v>52</v>
      </c>
      <c r="K102" s="1" t="s">
        <v>17</v>
      </c>
    </row>
    <row r="103" spans="2:11" ht="14.25" customHeight="1" x14ac:dyDescent="0.35">
      <c r="B103" s="2">
        <v>44628</v>
      </c>
      <c r="C103" s="1" t="s">
        <v>291</v>
      </c>
      <c r="D103" s="1" t="s">
        <v>292</v>
      </c>
      <c r="E103" s="1" t="s">
        <v>822</v>
      </c>
      <c r="F103" s="1" t="s">
        <v>21</v>
      </c>
      <c r="G103" s="1" t="s">
        <v>293</v>
      </c>
      <c r="H103" s="1" t="s">
        <v>23</v>
      </c>
      <c r="I103" s="1">
        <v>37</v>
      </c>
      <c r="J103" s="1" t="s">
        <v>42</v>
      </c>
      <c r="K103" s="1" t="s">
        <v>17</v>
      </c>
    </row>
    <row r="104" spans="2:11" ht="14.25" customHeight="1" x14ac:dyDescent="0.35">
      <c r="B104" s="2">
        <v>44628</v>
      </c>
      <c r="C104" s="1" t="s">
        <v>294</v>
      </c>
      <c r="D104" s="1" t="s">
        <v>295</v>
      </c>
      <c r="E104" s="1" t="s">
        <v>296</v>
      </c>
      <c r="F104" s="1" t="s">
        <v>13</v>
      </c>
      <c r="G104" s="1" t="s">
        <v>297</v>
      </c>
      <c r="H104" s="1" t="s">
        <v>23</v>
      </c>
      <c r="I104" s="1">
        <v>47</v>
      </c>
      <c r="J104" s="1" t="s">
        <v>16</v>
      </c>
      <c r="K104" s="1" t="s">
        <v>47</v>
      </c>
    </row>
    <row r="105" spans="2:11" ht="14.25" customHeight="1" x14ac:dyDescent="0.35">
      <c r="B105" s="2">
        <v>44628</v>
      </c>
      <c r="C105" s="1" t="s">
        <v>298</v>
      </c>
      <c r="D105" s="1" t="s">
        <v>299</v>
      </c>
      <c r="E105" s="1" t="s">
        <v>300</v>
      </c>
      <c r="F105" s="1" t="s">
        <v>13</v>
      </c>
      <c r="G105" s="1" t="s">
        <v>301</v>
      </c>
      <c r="H105" s="1" t="s">
        <v>30</v>
      </c>
      <c r="I105" s="1">
        <v>76</v>
      </c>
      <c r="J105" s="1" t="s">
        <v>151</v>
      </c>
      <c r="K105" s="1" t="s">
        <v>47</v>
      </c>
    </row>
    <row r="106" spans="2:11" ht="14.25" customHeight="1" x14ac:dyDescent="0.35">
      <c r="B106" s="2">
        <v>44629</v>
      </c>
      <c r="C106" s="1" t="s">
        <v>302</v>
      </c>
      <c r="D106" s="1" t="s">
        <v>259</v>
      </c>
      <c r="E106" s="1" t="s">
        <v>818</v>
      </c>
      <c r="F106" s="1" t="s">
        <v>21</v>
      </c>
      <c r="G106" s="1" t="s">
        <v>260</v>
      </c>
      <c r="H106" s="1" t="s">
        <v>30</v>
      </c>
      <c r="I106" s="1">
        <v>45</v>
      </c>
      <c r="J106" s="1" t="s">
        <v>42</v>
      </c>
      <c r="K106" s="1" t="s">
        <v>61</v>
      </c>
    </row>
    <row r="107" spans="2:11" ht="14.25" customHeight="1" x14ac:dyDescent="0.35">
      <c r="B107" s="2">
        <v>44629</v>
      </c>
      <c r="C107" s="1" t="s">
        <v>303</v>
      </c>
      <c r="D107" s="1" t="s">
        <v>178</v>
      </c>
      <c r="E107" s="1" t="s">
        <v>179</v>
      </c>
      <c r="F107" s="1" t="s">
        <v>13</v>
      </c>
      <c r="G107" s="1" t="s">
        <v>180</v>
      </c>
      <c r="H107" s="1" t="s">
        <v>30</v>
      </c>
      <c r="I107" s="1">
        <v>63</v>
      </c>
      <c r="J107" s="1" t="s">
        <v>31</v>
      </c>
      <c r="K107" s="1" t="s">
        <v>25</v>
      </c>
    </row>
    <row r="108" spans="2:11" ht="14.25" customHeight="1" x14ac:dyDescent="0.35">
      <c r="B108" s="2">
        <v>44631</v>
      </c>
      <c r="C108" s="1" t="s">
        <v>304</v>
      </c>
      <c r="D108" s="1" t="s">
        <v>178</v>
      </c>
      <c r="E108" s="1" t="s">
        <v>179</v>
      </c>
      <c r="F108" s="1" t="s">
        <v>13</v>
      </c>
      <c r="G108" s="1" t="s">
        <v>180</v>
      </c>
      <c r="H108" s="1" t="s">
        <v>30</v>
      </c>
      <c r="I108" s="1">
        <v>63</v>
      </c>
      <c r="J108" s="1" t="s">
        <v>24</v>
      </c>
      <c r="K108" s="1" t="s">
        <v>32</v>
      </c>
    </row>
    <row r="109" spans="2:11" ht="14.25" customHeight="1" x14ac:dyDescent="0.35">
      <c r="B109" s="2">
        <v>44631</v>
      </c>
      <c r="C109" s="1" t="s">
        <v>305</v>
      </c>
      <c r="D109" s="1" t="s">
        <v>306</v>
      </c>
      <c r="E109" s="1" t="s">
        <v>307</v>
      </c>
      <c r="F109" s="1" t="s">
        <v>13</v>
      </c>
      <c r="G109" s="1" t="s">
        <v>308</v>
      </c>
      <c r="H109" s="1" t="s">
        <v>30</v>
      </c>
      <c r="I109" s="1">
        <v>21</v>
      </c>
      <c r="J109" s="1" t="s">
        <v>151</v>
      </c>
      <c r="K109" s="1" t="s">
        <v>47</v>
      </c>
    </row>
    <row r="110" spans="2:11" ht="14.25" customHeight="1" x14ac:dyDescent="0.35">
      <c r="B110" s="2">
        <v>44632</v>
      </c>
      <c r="C110" s="1" t="s">
        <v>309</v>
      </c>
      <c r="D110" s="1" t="s">
        <v>59</v>
      </c>
      <c r="E110" s="1" t="s">
        <v>800</v>
      </c>
      <c r="F110" s="1" t="s">
        <v>13</v>
      </c>
      <c r="G110" s="1" t="s">
        <v>60</v>
      </c>
      <c r="H110" s="1" t="s">
        <v>15</v>
      </c>
      <c r="I110" s="1">
        <v>48</v>
      </c>
      <c r="J110" s="1" t="s">
        <v>151</v>
      </c>
      <c r="K110" s="1" t="s">
        <v>17</v>
      </c>
    </row>
    <row r="111" spans="2:11" ht="14.25" customHeight="1" x14ac:dyDescent="0.35">
      <c r="B111" s="2">
        <v>44632</v>
      </c>
      <c r="C111" s="1" t="s">
        <v>310</v>
      </c>
      <c r="D111" s="1" t="s">
        <v>250</v>
      </c>
      <c r="E111" s="1" t="s">
        <v>251</v>
      </c>
      <c r="F111" s="1" t="s">
        <v>21</v>
      </c>
      <c r="G111" s="1" t="s">
        <v>252</v>
      </c>
      <c r="H111" s="1" t="s">
        <v>15</v>
      </c>
      <c r="I111" s="1">
        <v>35</v>
      </c>
      <c r="J111" s="1" t="s">
        <v>57</v>
      </c>
      <c r="K111" s="1" t="s">
        <v>47</v>
      </c>
    </row>
    <row r="112" spans="2:11" ht="14.25" customHeight="1" x14ac:dyDescent="0.35">
      <c r="B112" s="2">
        <v>44633</v>
      </c>
      <c r="C112" s="1" t="s">
        <v>311</v>
      </c>
      <c r="D112" s="1" t="s">
        <v>244</v>
      </c>
      <c r="E112" s="1" t="s">
        <v>245</v>
      </c>
      <c r="F112" s="1" t="s">
        <v>21</v>
      </c>
      <c r="G112" s="1" t="s">
        <v>246</v>
      </c>
      <c r="H112" s="1" t="s">
        <v>15</v>
      </c>
      <c r="I112" s="1">
        <v>29</v>
      </c>
      <c r="J112" s="1" t="s">
        <v>52</v>
      </c>
      <c r="K112" s="1" t="s">
        <v>25</v>
      </c>
    </row>
    <row r="113" spans="2:11" ht="14.25" customHeight="1" x14ac:dyDescent="0.35">
      <c r="B113" s="2">
        <v>44633</v>
      </c>
      <c r="C113" s="1" t="s">
        <v>312</v>
      </c>
      <c r="D113" s="1" t="s">
        <v>292</v>
      </c>
      <c r="E113" s="1" t="s">
        <v>822</v>
      </c>
      <c r="F113" s="1" t="s">
        <v>21</v>
      </c>
      <c r="G113" s="1" t="s">
        <v>293</v>
      </c>
      <c r="H113" s="1" t="s">
        <v>23</v>
      </c>
      <c r="I113" s="1">
        <v>37</v>
      </c>
      <c r="J113" s="1" t="s">
        <v>151</v>
      </c>
      <c r="K113" s="1" t="s">
        <v>61</v>
      </c>
    </row>
    <row r="114" spans="2:11" ht="14.25" customHeight="1" x14ac:dyDescent="0.35">
      <c r="B114" s="2">
        <v>44633</v>
      </c>
      <c r="C114" s="1" t="s">
        <v>313</v>
      </c>
      <c r="D114" s="1" t="s">
        <v>314</v>
      </c>
      <c r="E114" s="1" t="s">
        <v>315</v>
      </c>
      <c r="F114" s="1" t="s">
        <v>21</v>
      </c>
      <c r="G114" s="1" t="s">
        <v>316</v>
      </c>
      <c r="H114" s="1" t="s">
        <v>23</v>
      </c>
      <c r="I114" s="1">
        <v>28</v>
      </c>
      <c r="J114" s="1" t="s">
        <v>167</v>
      </c>
      <c r="K114" s="1" t="s">
        <v>17</v>
      </c>
    </row>
    <row r="115" spans="2:11" ht="14.25" customHeight="1" x14ac:dyDescent="0.35">
      <c r="B115" s="2">
        <v>44633</v>
      </c>
      <c r="C115" s="1" t="s">
        <v>317</v>
      </c>
      <c r="D115" s="1" t="s">
        <v>121</v>
      </c>
      <c r="E115" s="1" t="s">
        <v>122</v>
      </c>
      <c r="F115" s="1" t="s">
        <v>13</v>
      </c>
      <c r="G115" s="1" t="s">
        <v>123</v>
      </c>
      <c r="H115" s="1" t="s">
        <v>15</v>
      </c>
      <c r="I115" s="1">
        <v>59</v>
      </c>
      <c r="J115" s="1" t="s">
        <v>52</v>
      </c>
      <c r="K115" s="1" t="s">
        <v>17</v>
      </c>
    </row>
    <row r="116" spans="2:11" ht="14.25" customHeight="1" x14ac:dyDescent="0.35">
      <c r="B116" s="2">
        <v>44634</v>
      </c>
      <c r="C116" s="1" t="s">
        <v>318</v>
      </c>
      <c r="D116" s="1" t="s">
        <v>319</v>
      </c>
      <c r="E116" s="1" t="s">
        <v>823</v>
      </c>
      <c r="F116" s="1" t="s">
        <v>21</v>
      </c>
      <c r="G116" s="1" t="s">
        <v>320</v>
      </c>
      <c r="H116" s="1" t="s">
        <v>30</v>
      </c>
      <c r="I116" s="1">
        <v>45</v>
      </c>
      <c r="J116" s="1" t="s">
        <v>151</v>
      </c>
      <c r="K116" s="1" t="s">
        <v>47</v>
      </c>
    </row>
    <row r="117" spans="2:11" ht="14.25" customHeight="1" x14ac:dyDescent="0.35">
      <c r="B117" s="2">
        <v>44635</v>
      </c>
      <c r="C117" s="1" t="s">
        <v>321</v>
      </c>
      <c r="D117" s="1" t="s">
        <v>178</v>
      </c>
      <c r="E117" s="1" t="s">
        <v>179</v>
      </c>
      <c r="F117" s="1" t="s">
        <v>13</v>
      </c>
      <c r="G117" s="1" t="s">
        <v>180</v>
      </c>
      <c r="H117" s="1" t="s">
        <v>30</v>
      </c>
      <c r="I117" s="1">
        <v>63</v>
      </c>
      <c r="J117" s="1" t="s">
        <v>42</v>
      </c>
      <c r="K117" s="1" t="s">
        <v>25</v>
      </c>
    </row>
    <row r="118" spans="2:11" ht="14.25" customHeight="1" x14ac:dyDescent="0.35">
      <c r="B118" s="2">
        <v>44635</v>
      </c>
      <c r="C118" s="1" t="s">
        <v>322</v>
      </c>
      <c r="D118" s="1" t="s">
        <v>158</v>
      </c>
      <c r="E118" s="1" t="s">
        <v>159</v>
      </c>
      <c r="F118" s="1" t="s">
        <v>13</v>
      </c>
      <c r="G118" s="1" t="s">
        <v>160</v>
      </c>
      <c r="H118" s="1" t="s">
        <v>23</v>
      </c>
      <c r="I118" s="1">
        <v>60</v>
      </c>
      <c r="J118" s="1" t="s">
        <v>16</v>
      </c>
      <c r="K118" s="1" t="s">
        <v>61</v>
      </c>
    </row>
    <row r="119" spans="2:11" ht="14.25" customHeight="1" x14ac:dyDescent="0.35">
      <c r="B119" s="2">
        <v>44636</v>
      </c>
      <c r="C119" s="1" t="s">
        <v>323</v>
      </c>
      <c r="D119" s="1" t="s">
        <v>324</v>
      </c>
      <c r="E119" s="1" t="s">
        <v>824</v>
      </c>
      <c r="F119" s="1" t="s">
        <v>21</v>
      </c>
      <c r="G119" s="1" t="s">
        <v>325</v>
      </c>
      <c r="H119" s="1" t="s">
        <v>30</v>
      </c>
      <c r="I119" s="1">
        <v>50</v>
      </c>
      <c r="J119" s="1" t="s">
        <v>42</v>
      </c>
      <c r="K119" s="1" t="s">
        <v>47</v>
      </c>
    </row>
    <row r="120" spans="2:11" ht="14.25" customHeight="1" x14ac:dyDescent="0.35">
      <c r="B120" s="2">
        <v>44636</v>
      </c>
      <c r="C120" s="1" t="s">
        <v>326</v>
      </c>
      <c r="D120" s="1" t="s">
        <v>327</v>
      </c>
      <c r="E120" s="1" t="s">
        <v>328</v>
      </c>
      <c r="F120" s="1" t="s">
        <v>13</v>
      </c>
      <c r="G120" s="1" t="s">
        <v>329</v>
      </c>
      <c r="H120" s="1" t="s">
        <v>23</v>
      </c>
      <c r="I120" s="1">
        <v>37</v>
      </c>
      <c r="J120" s="1" t="s">
        <v>57</v>
      </c>
      <c r="K120" s="1" t="s">
        <v>61</v>
      </c>
    </row>
    <row r="121" spans="2:11" ht="14.25" customHeight="1" x14ac:dyDescent="0.35">
      <c r="B121" s="2">
        <v>44637</v>
      </c>
      <c r="C121" s="1" t="s">
        <v>330</v>
      </c>
      <c r="D121" s="1" t="s">
        <v>137</v>
      </c>
      <c r="E121" s="1" t="s">
        <v>138</v>
      </c>
      <c r="F121" s="1" t="s">
        <v>21</v>
      </c>
      <c r="G121" s="1" t="s">
        <v>139</v>
      </c>
      <c r="H121" s="1" t="s">
        <v>15</v>
      </c>
      <c r="I121" s="1">
        <v>37</v>
      </c>
      <c r="J121" s="1" t="s">
        <v>57</v>
      </c>
      <c r="K121" s="1" t="s">
        <v>17</v>
      </c>
    </row>
    <row r="122" spans="2:11" ht="14.25" customHeight="1" x14ac:dyDescent="0.35">
      <c r="B122" s="2">
        <v>44637</v>
      </c>
      <c r="C122" s="1" t="s">
        <v>331</v>
      </c>
      <c r="D122" s="1" t="s">
        <v>63</v>
      </c>
      <c r="E122" s="1" t="s">
        <v>64</v>
      </c>
      <c r="F122" s="1" t="s">
        <v>13</v>
      </c>
      <c r="G122" s="1" t="s">
        <v>65</v>
      </c>
      <c r="H122" s="1" t="s">
        <v>15</v>
      </c>
      <c r="I122" s="1">
        <v>60</v>
      </c>
      <c r="J122" s="1" t="s">
        <v>151</v>
      </c>
      <c r="K122" s="1" t="s">
        <v>47</v>
      </c>
    </row>
    <row r="123" spans="2:11" ht="14.25" customHeight="1" x14ac:dyDescent="0.35">
      <c r="B123" s="2">
        <v>44637</v>
      </c>
      <c r="C123" s="1" t="s">
        <v>332</v>
      </c>
      <c r="D123" s="1" t="s">
        <v>129</v>
      </c>
      <c r="E123" s="1" t="s">
        <v>130</v>
      </c>
      <c r="F123" s="1" t="s">
        <v>21</v>
      </c>
      <c r="G123" s="1" t="s">
        <v>131</v>
      </c>
      <c r="H123" s="1" t="s">
        <v>23</v>
      </c>
      <c r="I123" s="1">
        <v>66</v>
      </c>
      <c r="J123" s="1" t="s">
        <v>151</v>
      </c>
      <c r="K123" s="1" t="s">
        <v>25</v>
      </c>
    </row>
    <row r="124" spans="2:11" ht="14.25" customHeight="1" x14ac:dyDescent="0.35">
      <c r="B124" s="2">
        <v>44638</v>
      </c>
      <c r="C124" s="1" t="s">
        <v>333</v>
      </c>
      <c r="D124" s="1" t="s">
        <v>255</v>
      </c>
      <c r="E124" s="1" t="s">
        <v>256</v>
      </c>
      <c r="F124" s="1" t="s">
        <v>13</v>
      </c>
      <c r="G124" s="1" t="s">
        <v>257</v>
      </c>
      <c r="H124" s="1" t="s">
        <v>15</v>
      </c>
      <c r="I124" s="1">
        <v>19</v>
      </c>
      <c r="J124" s="1" t="s">
        <v>151</v>
      </c>
      <c r="K124" s="1" t="s">
        <v>17</v>
      </c>
    </row>
    <row r="125" spans="2:11" ht="14.25" customHeight="1" x14ac:dyDescent="0.35">
      <c r="B125" s="2">
        <v>44639</v>
      </c>
      <c r="C125" s="1" t="s">
        <v>334</v>
      </c>
      <c r="D125" s="1" t="s">
        <v>335</v>
      </c>
      <c r="E125" s="1" t="s">
        <v>336</v>
      </c>
      <c r="F125" s="1" t="s">
        <v>13</v>
      </c>
      <c r="G125" s="1" t="s">
        <v>337</v>
      </c>
      <c r="H125" s="1" t="s">
        <v>30</v>
      </c>
      <c r="I125" s="1">
        <v>29</v>
      </c>
      <c r="J125" s="1" t="s">
        <v>42</v>
      </c>
      <c r="K125" s="1" t="s">
        <v>25</v>
      </c>
    </row>
    <row r="126" spans="2:11" ht="14.25" customHeight="1" x14ac:dyDescent="0.35">
      <c r="B126" s="2">
        <v>44639</v>
      </c>
      <c r="C126" s="1" t="s">
        <v>338</v>
      </c>
      <c r="D126" s="1" t="s">
        <v>339</v>
      </c>
      <c r="E126" s="1" t="s">
        <v>340</v>
      </c>
      <c r="F126" s="1" t="s">
        <v>13</v>
      </c>
      <c r="G126" s="1" t="s">
        <v>341</v>
      </c>
      <c r="H126" s="1" t="s">
        <v>23</v>
      </c>
      <c r="I126" s="1">
        <v>29</v>
      </c>
      <c r="J126" s="1" t="s">
        <v>37</v>
      </c>
      <c r="K126" s="1" t="s">
        <v>32</v>
      </c>
    </row>
    <row r="127" spans="2:11" ht="14.25" customHeight="1" x14ac:dyDescent="0.35">
      <c r="B127" s="2">
        <v>44639</v>
      </c>
      <c r="C127" s="1" t="s">
        <v>342</v>
      </c>
      <c r="D127" s="1" t="s">
        <v>343</v>
      </c>
      <c r="E127" s="1" t="s">
        <v>825</v>
      </c>
      <c r="F127" s="1" t="s">
        <v>21</v>
      </c>
      <c r="G127" s="1" t="s">
        <v>344</v>
      </c>
      <c r="H127" s="1" t="s">
        <v>15</v>
      </c>
      <c r="I127" s="1">
        <v>59</v>
      </c>
      <c r="J127" s="1" t="s">
        <v>31</v>
      </c>
      <c r="K127" s="1" t="s">
        <v>47</v>
      </c>
    </row>
    <row r="128" spans="2:11" ht="14.25" customHeight="1" x14ac:dyDescent="0.35">
      <c r="B128" s="2">
        <v>44641</v>
      </c>
      <c r="C128" s="1" t="s">
        <v>345</v>
      </c>
      <c r="D128" s="1" t="s">
        <v>292</v>
      </c>
      <c r="E128" s="1" t="s">
        <v>822</v>
      </c>
      <c r="F128" s="1" t="s">
        <v>21</v>
      </c>
      <c r="G128" s="1" t="s">
        <v>293</v>
      </c>
      <c r="H128" s="1" t="s">
        <v>23</v>
      </c>
      <c r="I128" s="1">
        <v>37</v>
      </c>
      <c r="J128" s="1" t="s">
        <v>16</v>
      </c>
      <c r="K128" s="1" t="s">
        <v>25</v>
      </c>
    </row>
    <row r="129" spans="2:11" ht="14.25" customHeight="1" x14ac:dyDescent="0.35">
      <c r="B129" s="2">
        <v>44641</v>
      </c>
      <c r="C129" s="1" t="s">
        <v>346</v>
      </c>
      <c r="D129" s="1" t="s">
        <v>19</v>
      </c>
      <c r="E129" s="1" t="s">
        <v>20</v>
      </c>
      <c r="F129" s="1" t="s">
        <v>21</v>
      </c>
      <c r="G129" s="1" t="s">
        <v>22</v>
      </c>
      <c r="H129" s="1" t="s">
        <v>23</v>
      </c>
      <c r="I129" s="1">
        <v>72</v>
      </c>
      <c r="J129" s="1" t="s">
        <v>37</v>
      </c>
      <c r="K129" s="1" t="s">
        <v>61</v>
      </c>
    </row>
    <row r="130" spans="2:11" ht="14.25" customHeight="1" x14ac:dyDescent="0.35">
      <c r="B130" s="2">
        <v>44641</v>
      </c>
      <c r="C130" s="1" t="s">
        <v>347</v>
      </c>
      <c r="D130" s="1" t="s">
        <v>339</v>
      </c>
      <c r="E130" s="1" t="s">
        <v>340</v>
      </c>
      <c r="F130" s="1" t="s">
        <v>13</v>
      </c>
      <c r="G130" s="1" t="s">
        <v>341</v>
      </c>
      <c r="H130" s="1" t="s">
        <v>23</v>
      </c>
      <c r="I130" s="1">
        <v>29</v>
      </c>
      <c r="J130" s="1" t="s">
        <v>167</v>
      </c>
      <c r="K130" s="1" t="s">
        <v>25</v>
      </c>
    </row>
    <row r="131" spans="2:11" ht="14.25" customHeight="1" x14ac:dyDescent="0.35">
      <c r="B131" s="2">
        <v>44643</v>
      </c>
      <c r="C131" s="1" t="s">
        <v>348</v>
      </c>
      <c r="D131" s="1" t="s">
        <v>349</v>
      </c>
      <c r="E131" s="1" t="s">
        <v>350</v>
      </c>
      <c r="F131" s="1" t="s">
        <v>13</v>
      </c>
      <c r="G131" s="1" t="s">
        <v>351</v>
      </c>
      <c r="H131" s="1" t="s">
        <v>15</v>
      </c>
      <c r="I131" s="1">
        <v>50</v>
      </c>
      <c r="J131" s="1" t="s">
        <v>57</v>
      </c>
      <c r="K131" s="1" t="s">
        <v>47</v>
      </c>
    </row>
    <row r="132" spans="2:11" ht="14.25" customHeight="1" x14ac:dyDescent="0.35">
      <c r="B132" s="2">
        <v>44643</v>
      </c>
      <c r="C132" s="1" t="s">
        <v>352</v>
      </c>
      <c r="D132" s="1" t="s">
        <v>121</v>
      </c>
      <c r="E132" s="1" t="s">
        <v>122</v>
      </c>
      <c r="F132" s="1" t="s">
        <v>13</v>
      </c>
      <c r="G132" s="1" t="s">
        <v>123</v>
      </c>
      <c r="H132" s="1" t="s">
        <v>15</v>
      </c>
      <c r="I132" s="1">
        <v>59</v>
      </c>
      <c r="J132" s="1" t="s">
        <v>24</v>
      </c>
      <c r="K132" s="1" t="s">
        <v>17</v>
      </c>
    </row>
    <row r="133" spans="2:11" ht="14.25" customHeight="1" x14ac:dyDescent="0.35">
      <c r="B133" s="2">
        <v>44644</v>
      </c>
      <c r="C133" s="1" t="s">
        <v>353</v>
      </c>
      <c r="D133" s="1" t="s">
        <v>241</v>
      </c>
      <c r="E133" s="1" t="s">
        <v>817</v>
      </c>
      <c r="F133" s="1" t="s">
        <v>21</v>
      </c>
      <c r="G133" s="1" t="s">
        <v>242</v>
      </c>
      <c r="H133" s="1" t="s">
        <v>30</v>
      </c>
      <c r="I133" s="1">
        <v>31</v>
      </c>
      <c r="J133" s="1" t="s">
        <v>52</v>
      </c>
      <c r="K133" s="1" t="s">
        <v>32</v>
      </c>
    </row>
    <row r="134" spans="2:11" ht="14.25" customHeight="1" x14ac:dyDescent="0.35">
      <c r="B134" s="2">
        <v>44644</v>
      </c>
      <c r="C134" s="1" t="s">
        <v>354</v>
      </c>
      <c r="D134" s="1" t="s">
        <v>259</v>
      </c>
      <c r="E134" s="1" t="s">
        <v>818</v>
      </c>
      <c r="F134" s="1" t="s">
        <v>21</v>
      </c>
      <c r="G134" s="1" t="s">
        <v>260</v>
      </c>
      <c r="H134" s="1" t="s">
        <v>30</v>
      </c>
      <c r="I134" s="1">
        <v>45</v>
      </c>
      <c r="J134" s="1" t="s">
        <v>66</v>
      </c>
      <c r="K134" s="1" t="s">
        <v>17</v>
      </c>
    </row>
    <row r="135" spans="2:11" ht="14.25" customHeight="1" x14ac:dyDescent="0.35">
      <c r="B135" s="2">
        <v>44644</v>
      </c>
      <c r="C135" s="1" t="s">
        <v>355</v>
      </c>
      <c r="D135" s="1" t="s">
        <v>299</v>
      </c>
      <c r="E135" s="1" t="s">
        <v>300</v>
      </c>
      <c r="F135" s="1" t="s">
        <v>13</v>
      </c>
      <c r="G135" s="1" t="s">
        <v>301</v>
      </c>
      <c r="H135" s="1" t="s">
        <v>30</v>
      </c>
      <c r="I135" s="1">
        <v>76</v>
      </c>
      <c r="J135" s="1" t="s">
        <v>31</v>
      </c>
      <c r="K135" s="1" t="s">
        <v>61</v>
      </c>
    </row>
    <row r="136" spans="2:11" ht="14.25" customHeight="1" x14ac:dyDescent="0.35">
      <c r="B136" s="2">
        <v>44645</v>
      </c>
      <c r="C136" s="1" t="s">
        <v>356</v>
      </c>
      <c r="D136" s="1" t="s">
        <v>327</v>
      </c>
      <c r="E136" s="1" t="s">
        <v>328</v>
      </c>
      <c r="F136" s="1" t="s">
        <v>13</v>
      </c>
      <c r="G136" s="1" t="s">
        <v>329</v>
      </c>
      <c r="H136" s="1" t="s">
        <v>23</v>
      </c>
      <c r="I136" s="1">
        <v>37</v>
      </c>
      <c r="J136" s="1" t="s">
        <v>16</v>
      </c>
      <c r="K136" s="1" t="s">
        <v>25</v>
      </c>
    </row>
    <row r="137" spans="2:11" ht="14.25" customHeight="1" x14ac:dyDescent="0.35">
      <c r="B137" s="2">
        <v>44645</v>
      </c>
      <c r="C137" s="1" t="s">
        <v>357</v>
      </c>
      <c r="D137" s="1" t="s">
        <v>59</v>
      </c>
      <c r="E137" s="1" t="s">
        <v>800</v>
      </c>
      <c r="F137" s="1" t="s">
        <v>13</v>
      </c>
      <c r="G137" s="1" t="s">
        <v>60</v>
      </c>
      <c r="H137" s="1" t="s">
        <v>15</v>
      </c>
      <c r="I137" s="1">
        <v>48</v>
      </c>
      <c r="J137" s="1" t="s">
        <v>42</v>
      </c>
      <c r="K137" s="1" t="s">
        <v>47</v>
      </c>
    </row>
    <row r="138" spans="2:11" ht="14.25" customHeight="1" x14ac:dyDescent="0.35">
      <c r="B138" s="2">
        <v>44646</v>
      </c>
      <c r="C138" s="1" t="s">
        <v>358</v>
      </c>
      <c r="D138" s="1" t="s">
        <v>343</v>
      </c>
      <c r="E138" s="1" t="s">
        <v>825</v>
      </c>
      <c r="F138" s="1" t="s">
        <v>21</v>
      </c>
      <c r="G138" s="1" t="s">
        <v>344</v>
      </c>
      <c r="H138" s="1" t="s">
        <v>15</v>
      </c>
      <c r="I138" s="1">
        <v>59</v>
      </c>
      <c r="J138" s="1" t="s">
        <v>42</v>
      </c>
      <c r="K138" s="1" t="s">
        <v>25</v>
      </c>
    </row>
    <row r="139" spans="2:11" ht="14.25" customHeight="1" x14ac:dyDescent="0.35">
      <c r="B139" s="2">
        <v>44646</v>
      </c>
      <c r="C139" s="1" t="s">
        <v>359</v>
      </c>
      <c r="D139" s="1" t="s">
        <v>104</v>
      </c>
      <c r="E139" s="1" t="s">
        <v>806</v>
      </c>
      <c r="F139" s="1" t="s">
        <v>13</v>
      </c>
      <c r="G139" s="1" t="s">
        <v>105</v>
      </c>
      <c r="H139" s="1" t="s">
        <v>30</v>
      </c>
      <c r="I139" s="1">
        <v>64</v>
      </c>
      <c r="J139" s="1" t="s">
        <v>167</v>
      </c>
      <c r="K139" s="1" t="s">
        <v>17</v>
      </c>
    </row>
    <row r="140" spans="2:11" ht="14.25" customHeight="1" x14ac:dyDescent="0.35">
      <c r="B140" s="2">
        <v>44647</v>
      </c>
      <c r="C140" s="1" t="s">
        <v>360</v>
      </c>
      <c r="D140" s="1" t="s">
        <v>361</v>
      </c>
      <c r="E140" s="1" t="s">
        <v>362</v>
      </c>
      <c r="F140" s="1" t="s">
        <v>21</v>
      </c>
      <c r="G140" s="1" t="s">
        <v>363</v>
      </c>
      <c r="H140" s="1" t="s">
        <v>15</v>
      </c>
      <c r="I140" s="1">
        <v>66</v>
      </c>
      <c r="J140" s="1" t="s">
        <v>42</v>
      </c>
      <c r="K140" s="1" t="s">
        <v>47</v>
      </c>
    </row>
    <row r="141" spans="2:11" ht="14.25" customHeight="1" x14ac:dyDescent="0.35">
      <c r="B141" s="2">
        <v>44648</v>
      </c>
      <c r="C141" s="1" t="s">
        <v>364</v>
      </c>
      <c r="D141" s="1" t="s">
        <v>275</v>
      </c>
      <c r="E141" s="1" t="s">
        <v>276</v>
      </c>
      <c r="F141" s="1" t="s">
        <v>13</v>
      </c>
      <c r="G141" s="1" t="s">
        <v>277</v>
      </c>
      <c r="H141" s="1" t="s">
        <v>30</v>
      </c>
      <c r="I141" s="1">
        <v>64</v>
      </c>
      <c r="J141" s="1" t="s">
        <v>37</v>
      </c>
      <c r="K141" s="1" t="s">
        <v>17</v>
      </c>
    </row>
    <row r="142" spans="2:11" ht="14.25" customHeight="1" x14ac:dyDescent="0.35">
      <c r="B142" s="2">
        <v>44648</v>
      </c>
      <c r="C142" s="1" t="s">
        <v>365</v>
      </c>
      <c r="D142" s="1" t="s">
        <v>319</v>
      </c>
      <c r="E142" s="1" t="s">
        <v>823</v>
      </c>
      <c r="F142" s="1" t="s">
        <v>21</v>
      </c>
      <c r="G142" s="1" t="s">
        <v>320</v>
      </c>
      <c r="H142" s="1" t="s">
        <v>30</v>
      </c>
      <c r="I142" s="1">
        <v>45</v>
      </c>
      <c r="J142" s="1" t="s">
        <v>66</v>
      </c>
      <c r="K142" s="1" t="s">
        <v>47</v>
      </c>
    </row>
    <row r="143" spans="2:11" ht="14.25" customHeight="1" x14ac:dyDescent="0.35">
      <c r="B143" s="2">
        <v>44651</v>
      </c>
      <c r="C143" s="1" t="s">
        <v>366</v>
      </c>
      <c r="D143" s="1" t="s">
        <v>137</v>
      </c>
      <c r="E143" s="1" t="s">
        <v>138</v>
      </c>
      <c r="F143" s="1" t="s">
        <v>21</v>
      </c>
      <c r="G143" s="1" t="s">
        <v>139</v>
      </c>
      <c r="H143" s="1" t="s">
        <v>15</v>
      </c>
      <c r="I143" s="1">
        <v>37</v>
      </c>
      <c r="J143" s="1" t="s">
        <v>52</v>
      </c>
      <c r="K143" s="1" t="s">
        <v>47</v>
      </c>
    </row>
    <row r="144" spans="2:11" ht="14.25" customHeight="1" x14ac:dyDescent="0.35">
      <c r="B144" s="2">
        <v>44651</v>
      </c>
      <c r="C144" s="1" t="s">
        <v>367</v>
      </c>
      <c r="D144" s="1" t="s">
        <v>75</v>
      </c>
      <c r="E144" s="1" t="s">
        <v>76</v>
      </c>
      <c r="F144" s="1" t="s">
        <v>21</v>
      </c>
      <c r="G144" s="1" t="s">
        <v>77</v>
      </c>
      <c r="H144" s="1" t="s">
        <v>30</v>
      </c>
      <c r="I144" s="1">
        <v>19</v>
      </c>
      <c r="J144" s="1" t="s">
        <v>167</v>
      </c>
      <c r="K144" s="1" t="s">
        <v>47</v>
      </c>
    </row>
    <row r="145" spans="2:11" ht="14.25" customHeight="1" x14ac:dyDescent="0.35">
      <c r="B145" s="2">
        <v>44652</v>
      </c>
      <c r="C145" s="1" t="s">
        <v>368</v>
      </c>
      <c r="D145" s="1" t="s">
        <v>369</v>
      </c>
      <c r="E145" s="1" t="s">
        <v>826</v>
      </c>
      <c r="F145" s="1" t="s">
        <v>13</v>
      </c>
      <c r="G145" s="1" t="s">
        <v>370</v>
      </c>
      <c r="H145" s="1" t="s">
        <v>30</v>
      </c>
      <c r="I145" s="1">
        <v>32</v>
      </c>
      <c r="J145" s="1" t="s">
        <v>31</v>
      </c>
      <c r="K145" s="1" t="s">
        <v>17</v>
      </c>
    </row>
    <row r="146" spans="2:11" ht="14.25" customHeight="1" x14ac:dyDescent="0.35">
      <c r="B146" s="2">
        <v>44653</v>
      </c>
      <c r="C146" s="1" t="s">
        <v>371</v>
      </c>
      <c r="D146" s="1" t="s">
        <v>169</v>
      </c>
      <c r="E146" s="1" t="s">
        <v>170</v>
      </c>
      <c r="F146" s="1" t="s">
        <v>13</v>
      </c>
      <c r="G146" s="1" t="s">
        <v>171</v>
      </c>
      <c r="H146" s="1" t="s">
        <v>30</v>
      </c>
      <c r="I146" s="1">
        <v>29</v>
      </c>
      <c r="J146" s="1" t="s">
        <v>42</v>
      </c>
      <c r="K146" s="1" t="s">
        <v>61</v>
      </c>
    </row>
    <row r="147" spans="2:11" ht="14.25" customHeight="1" x14ac:dyDescent="0.35">
      <c r="B147" s="2">
        <v>44654</v>
      </c>
      <c r="C147" s="1" t="s">
        <v>372</v>
      </c>
      <c r="D147" s="1" t="s">
        <v>75</v>
      </c>
      <c r="E147" s="1" t="s">
        <v>76</v>
      </c>
      <c r="F147" s="1" t="s">
        <v>21</v>
      </c>
      <c r="G147" s="1" t="s">
        <v>77</v>
      </c>
      <c r="H147" s="1" t="s">
        <v>30</v>
      </c>
      <c r="I147" s="1">
        <v>19</v>
      </c>
      <c r="J147" s="1" t="s">
        <v>37</v>
      </c>
      <c r="K147" s="1" t="s">
        <v>47</v>
      </c>
    </row>
    <row r="148" spans="2:11" ht="14.25" customHeight="1" x14ac:dyDescent="0.35">
      <c r="B148" s="2">
        <v>44654</v>
      </c>
      <c r="C148" s="1" t="s">
        <v>373</v>
      </c>
      <c r="D148" s="1" t="s">
        <v>178</v>
      </c>
      <c r="E148" s="1" t="s">
        <v>179</v>
      </c>
      <c r="F148" s="1" t="s">
        <v>13</v>
      </c>
      <c r="G148" s="1" t="s">
        <v>180</v>
      </c>
      <c r="H148" s="1" t="s">
        <v>30</v>
      </c>
      <c r="I148" s="1">
        <v>63</v>
      </c>
      <c r="J148" s="1" t="s">
        <v>31</v>
      </c>
      <c r="K148" s="1" t="s">
        <v>32</v>
      </c>
    </row>
    <row r="149" spans="2:11" ht="14.25" customHeight="1" x14ac:dyDescent="0.35">
      <c r="B149" s="2">
        <v>44655</v>
      </c>
      <c r="C149" s="1" t="s">
        <v>374</v>
      </c>
      <c r="D149" s="1" t="s">
        <v>375</v>
      </c>
      <c r="E149" s="1" t="s">
        <v>376</v>
      </c>
      <c r="F149" s="1" t="s">
        <v>13</v>
      </c>
      <c r="G149" s="1" t="s">
        <v>377</v>
      </c>
      <c r="H149" s="1" t="s">
        <v>15</v>
      </c>
      <c r="I149" s="1">
        <v>35</v>
      </c>
      <c r="J149" s="1" t="s">
        <v>42</v>
      </c>
      <c r="K149" s="1" t="s">
        <v>25</v>
      </c>
    </row>
    <row r="150" spans="2:11" ht="14.25" customHeight="1" x14ac:dyDescent="0.35">
      <c r="B150" s="2">
        <v>44656</v>
      </c>
      <c r="C150" s="1" t="s">
        <v>378</v>
      </c>
      <c r="D150" s="1" t="s">
        <v>244</v>
      </c>
      <c r="E150" s="1" t="s">
        <v>245</v>
      </c>
      <c r="F150" s="1" t="s">
        <v>21</v>
      </c>
      <c r="G150" s="1" t="s">
        <v>246</v>
      </c>
      <c r="H150" s="1" t="s">
        <v>15</v>
      </c>
      <c r="I150" s="1">
        <v>29</v>
      </c>
      <c r="J150" s="1" t="s">
        <v>66</v>
      </c>
      <c r="K150" s="1" t="s">
        <v>25</v>
      </c>
    </row>
    <row r="151" spans="2:11" ht="14.25" customHeight="1" x14ac:dyDescent="0.35">
      <c r="B151" s="2">
        <v>44657</v>
      </c>
      <c r="C151" s="1" t="s">
        <v>379</v>
      </c>
      <c r="D151" s="1" t="s">
        <v>269</v>
      </c>
      <c r="E151" s="1" t="s">
        <v>819</v>
      </c>
      <c r="F151" s="1" t="s">
        <v>13</v>
      </c>
      <c r="G151" s="1" t="s">
        <v>270</v>
      </c>
      <c r="H151" s="1" t="s">
        <v>15</v>
      </c>
      <c r="I151" s="1">
        <v>40</v>
      </c>
      <c r="J151" s="1" t="s">
        <v>16</v>
      </c>
      <c r="K151" s="1" t="s">
        <v>17</v>
      </c>
    </row>
    <row r="152" spans="2:11" ht="14.25" customHeight="1" x14ac:dyDescent="0.35">
      <c r="B152" s="2">
        <v>44658</v>
      </c>
      <c r="C152" s="1" t="s">
        <v>380</v>
      </c>
      <c r="D152" s="1" t="s">
        <v>63</v>
      </c>
      <c r="E152" s="1" t="s">
        <v>64</v>
      </c>
      <c r="F152" s="1" t="s">
        <v>13</v>
      </c>
      <c r="G152" s="1" t="s">
        <v>65</v>
      </c>
      <c r="H152" s="1" t="s">
        <v>15</v>
      </c>
      <c r="I152" s="1">
        <v>60</v>
      </c>
      <c r="J152" s="1" t="s">
        <v>24</v>
      </c>
      <c r="K152" s="1" t="s">
        <v>47</v>
      </c>
    </row>
    <row r="153" spans="2:11" ht="14.25" customHeight="1" x14ac:dyDescent="0.35">
      <c r="B153" s="2">
        <v>44659</v>
      </c>
      <c r="C153" s="1" t="s">
        <v>381</v>
      </c>
      <c r="D153" s="1" t="s">
        <v>382</v>
      </c>
      <c r="E153" s="1" t="s">
        <v>383</v>
      </c>
      <c r="F153" s="1" t="s">
        <v>21</v>
      </c>
      <c r="G153" s="1" t="s">
        <v>384</v>
      </c>
      <c r="H153" s="1" t="s">
        <v>30</v>
      </c>
      <c r="I153" s="1">
        <v>72</v>
      </c>
      <c r="J153" s="1" t="s">
        <v>31</v>
      </c>
      <c r="K153" s="1" t="s">
        <v>47</v>
      </c>
    </row>
    <row r="154" spans="2:11" ht="14.25" customHeight="1" x14ac:dyDescent="0.35">
      <c r="B154" s="2">
        <v>44659</v>
      </c>
      <c r="C154" s="1" t="s">
        <v>385</v>
      </c>
      <c r="D154" s="1" t="s">
        <v>133</v>
      </c>
      <c r="E154" s="1" t="s">
        <v>134</v>
      </c>
      <c r="F154" s="1" t="s">
        <v>13</v>
      </c>
      <c r="G154" s="1" t="s">
        <v>135</v>
      </c>
      <c r="H154" s="1" t="s">
        <v>23</v>
      </c>
      <c r="I154" s="1">
        <v>68</v>
      </c>
      <c r="J154" s="1" t="s">
        <v>42</v>
      </c>
      <c r="K154" s="1" t="s">
        <v>47</v>
      </c>
    </row>
    <row r="155" spans="2:11" ht="14.25" customHeight="1" x14ac:dyDescent="0.35">
      <c r="B155" s="2">
        <v>44660</v>
      </c>
      <c r="C155" s="1" t="s">
        <v>386</v>
      </c>
      <c r="D155" s="1" t="s">
        <v>382</v>
      </c>
      <c r="E155" s="1" t="s">
        <v>383</v>
      </c>
      <c r="F155" s="1" t="s">
        <v>21</v>
      </c>
      <c r="G155" s="1" t="s">
        <v>384</v>
      </c>
      <c r="H155" s="1" t="s">
        <v>30</v>
      </c>
      <c r="I155" s="1">
        <v>72</v>
      </c>
      <c r="J155" s="1" t="s">
        <v>57</v>
      </c>
      <c r="K155" s="1" t="s">
        <v>32</v>
      </c>
    </row>
    <row r="156" spans="2:11" ht="14.25" customHeight="1" x14ac:dyDescent="0.35">
      <c r="B156" s="2">
        <v>44661</v>
      </c>
      <c r="C156" s="1" t="s">
        <v>387</v>
      </c>
      <c r="D156" s="1" t="s">
        <v>388</v>
      </c>
      <c r="E156" s="1" t="s">
        <v>389</v>
      </c>
      <c r="F156" s="1" t="s">
        <v>13</v>
      </c>
      <c r="G156" s="1" t="s">
        <v>390</v>
      </c>
      <c r="H156" s="1" t="s">
        <v>23</v>
      </c>
      <c r="I156" s="1">
        <v>76</v>
      </c>
      <c r="J156" s="1" t="s">
        <v>42</v>
      </c>
      <c r="K156" s="1" t="s">
        <v>47</v>
      </c>
    </row>
    <row r="157" spans="2:11" ht="14.25" customHeight="1" x14ac:dyDescent="0.35">
      <c r="B157" s="2">
        <v>44663</v>
      </c>
      <c r="C157" s="1" t="s">
        <v>391</v>
      </c>
      <c r="D157" s="1" t="s">
        <v>223</v>
      </c>
      <c r="E157" s="1" t="s">
        <v>224</v>
      </c>
      <c r="F157" s="1" t="s">
        <v>21</v>
      </c>
      <c r="G157" s="1" t="s">
        <v>225</v>
      </c>
      <c r="H157" s="1" t="s">
        <v>30</v>
      </c>
      <c r="I157" s="1">
        <v>68</v>
      </c>
      <c r="J157" s="1" t="s">
        <v>31</v>
      </c>
      <c r="K157" s="1" t="s">
        <v>25</v>
      </c>
    </row>
    <row r="158" spans="2:11" ht="14.25" customHeight="1" x14ac:dyDescent="0.35">
      <c r="B158" s="2">
        <v>44665</v>
      </c>
      <c r="C158" s="1" t="s">
        <v>392</v>
      </c>
      <c r="D158" s="1" t="s">
        <v>59</v>
      </c>
      <c r="E158" s="1" t="s">
        <v>800</v>
      </c>
      <c r="F158" s="1" t="s">
        <v>13</v>
      </c>
      <c r="G158" s="1" t="s">
        <v>60</v>
      </c>
      <c r="H158" s="1" t="s">
        <v>15</v>
      </c>
      <c r="I158" s="1">
        <v>48</v>
      </c>
      <c r="J158" s="1" t="s">
        <v>42</v>
      </c>
      <c r="K158" s="1" t="s">
        <v>47</v>
      </c>
    </row>
    <row r="159" spans="2:11" ht="14.25" customHeight="1" x14ac:dyDescent="0.35">
      <c r="B159" s="2">
        <v>44666</v>
      </c>
      <c r="C159" s="1" t="s">
        <v>393</v>
      </c>
      <c r="D159" s="1" t="s">
        <v>394</v>
      </c>
      <c r="E159" s="1" t="s">
        <v>395</v>
      </c>
      <c r="F159" s="1" t="s">
        <v>13</v>
      </c>
      <c r="G159" s="1" t="s">
        <v>396</v>
      </c>
      <c r="H159" s="1" t="s">
        <v>23</v>
      </c>
      <c r="I159" s="1">
        <v>24</v>
      </c>
      <c r="J159" s="1" t="s">
        <v>37</v>
      </c>
      <c r="K159" s="1" t="s">
        <v>25</v>
      </c>
    </row>
    <row r="160" spans="2:11" ht="14.25" customHeight="1" x14ac:dyDescent="0.35">
      <c r="B160" s="2">
        <v>44667</v>
      </c>
      <c r="C160" s="1" t="s">
        <v>397</v>
      </c>
      <c r="D160" s="1" t="s">
        <v>398</v>
      </c>
      <c r="E160" s="1" t="s">
        <v>827</v>
      </c>
      <c r="F160" s="1" t="s">
        <v>21</v>
      </c>
      <c r="G160" s="1" t="s">
        <v>399</v>
      </c>
      <c r="H160" s="1" t="s">
        <v>15</v>
      </c>
      <c r="I160" s="1">
        <v>32</v>
      </c>
      <c r="J160" s="1" t="s">
        <v>37</v>
      </c>
      <c r="K160" s="1" t="s">
        <v>25</v>
      </c>
    </row>
    <row r="161" spans="2:11" ht="14.25" customHeight="1" x14ac:dyDescent="0.35">
      <c r="B161" s="2">
        <v>44667</v>
      </c>
      <c r="C161" s="1" t="s">
        <v>400</v>
      </c>
      <c r="D161" s="1" t="s">
        <v>59</v>
      </c>
      <c r="E161" s="1" t="s">
        <v>800</v>
      </c>
      <c r="F161" s="1" t="s">
        <v>13</v>
      </c>
      <c r="G161" s="1" t="s">
        <v>60</v>
      </c>
      <c r="H161" s="1" t="s">
        <v>15</v>
      </c>
      <c r="I161" s="1">
        <v>48</v>
      </c>
      <c r="J161" s="1" t="s">
        <v>151</v>
      </c>
      <c r="K161" s="1" t="s">
        <v>17</v>
      </c>
    </row>
    <row r="162" spans="2:11" ht="14.25" customHeight="1" x14ac:dyDescent="0.35">
      <c r="B162" s="2">
        <v>44668</v>
      </c>
      <c r="C162" s="1" t="s">
        <v>401</v>
      </c>
      <c r="D162" s="1" t="s">
        <v>54</v>
      </c>
      <c r="E162" s="1" t="s">
        <v>55</v>
      </c>
      <c r="F162" s="1" t="s">
        <v>21</v>
      </c>
      <c r="G162" s="1" t="s">
        <v>56</v>
      </c>
      <c r="H162" s="1" t="s">
        <v>23</v>
      </c>
      <c r="I162" s="1">
        <v>28</v>
      </c>
      <c r="J162" s="1" t="s">
        <v>66</v>
      </c>
      <c r="K162" s="1" t="s">
        <v>47</v>
      </c>
    </row>
    <row r="163" spans="2:11" ht="14.25" customHeight="1" x14ac:dyDescent="0.35">
      <c r="B163" s="2">
        <v>44669</v>
      </c>
      <c r="C163" s="1" t="s">
        <v>402</v>
      </c>
      <c r="D163" s="1" t="s">
        <v>75</v>
      </c>
      <c r="E163" s="1" t="s">
        <v>76</v>
      </c>
      <c r="F163" s="1" t="s">
        <v>21</v>
      </c>
      <c r="G163" s="1" t="s">
        <v>77</v>
      </c>
      <c r="H163" s="1" t="s">
        <v>30</v>
      </c>
      <c r="I163" s="1">
        <v>19</v>
      </c>
      <c r="J163" s="1" t="s">
        <v>57</v>
      </c>
      <c r="K163" s="1" t="s">
        <v>47</v>
      </c>
    </row>
    <row r="164" spans="2:11" ht="14.25" customHeight="1" x14ac:dyDescent="0.35">
      <c r="B164" s="2">
        <v>44671</v>
      </c>
      <c r="C164" s="1" t="s">
        <v>403</v>
      </c>
      <c r="D164" s="1" t="s">
        <v>265</v>
      </c>
      <c r="E164" s="1" t="s">
        <v>266</v>
      </c>
      <c r="F164" s="1" t="s">
        <v>13</v>
      </c>
      <c r="G164" s="1" t="s">
        <v>267</v>
      </c>
      <c r="H164" s="1" t="s">
        <v>15</v>
      </c>
      <c r="I164" s="1">
        <v>72</v>
      </c>
      <c r="J164" s="1" t="s">
        <v>167</v>
      </c>
      <c r="K164" s="1" t="s">
        <v>47</v>
      </c>
    </row>
    <row r="165" spans="2:11" ht="14.25" customHeight="1" x14ac:dyDescent="0.35">
      <c r="B165" s="2">
        <v>44671</v>
      </c>
      <c r="C165" s="1" t="s">
        <v>404</v>
      </c>
      <c r="D165" s="1" t="s">
        <v>111</v>
      </c>
      <c r="E165" s="1" t="s">
        <v>112</v>
      </c>
      <c r="F165" s="1" t="s">
        <v>21</v>
      </c>
      <c r="G165" s="1" t="s">
        <v>113</v>
      </c>
      <c r="H165" s="1" t="s">
        <v>23</v>
      </c>
      <c r="I165" s="1">
        <v>58</v>
      </c>
      <c r="J165" s="1" t="s">
        <v>42</v>
      </c>
      <c r="K165" s="1" t="s">
        <v>17</v>
      </c>
    </row>
    <row r="166" spans="2:11" ht="14.25" customHeight="1" x14ac:dyDescent="0.35">
      <c r="B166" s="2">
        <v>44671</v>
      </c>
      <c r="C166" s="1" t="s">
        <v>405</v>
      </c>
      <c r="D166" s="1" t="s">
        <v>133</v>
      </c>
      <c r="E166" s="1" t="s">
        <v>134</v>
      </c>
      <c r="F166" s="1" t="s">
        <v>13</v>
      </c>
      <c r="G166" s="1" t="s">
        <v>135</v>
      </c>
      <c r="H166" s="1" t="s">
        <v>23</v>
      </c>
      <c r="I166" s="1">
        <v>68</v>
      </c>
      <c r="J166" s="1" t="s">
        <v>66</v>
      </c>
      <c r="K166" s="1" t="s">
        <v>61</v>
      </c>
    </row>
    <row r="167" spans="2:11" ht="14.25" customHeight="1" x14ac:dyDescent="0.35">
      <c r="B167" s="2">
        <v>44672</v>
      </c>
      <c r="C167" s="1" t="s">
        <v>406</v>
      </c>
      <c r="D167" s="1" t="s">
        <v>196</v>
      </c>
      <c r="E167" s="1" t="s">
        <v>197</v>
      </c>
      <c r="F167" s="1" t="s">
        <v>13</v>
      </c>
      <c r="G167" s="1" t="s">
        <v>198</v>
      </c>
      <c r="H167" s="1" t="s">
        <v>30</v>
      </c>
      <c r="I167" s="1">
        <v>39</v>
      </c>
      <c r="J167" s="1" t="s">
        <v>16</v>
      </c>
      <c r="K167" s="1" t="s">
        <v>25</v>
      </c>
    </row>
    <row r="168" spans="2:11" ht="14.25" customHeight="1" x14ac:dyDescent="0.35">
      <c r="B168" s="2">
        <v>44672</v>
      </c>
      <c r="C168" s="1" t="s">
        <v>407</v>
      </c>
      <c r="D168" s="1" t="s">
        <v>244</v>
      </c>
      <c r="E168" s="1" t="s">
        <v>245</v>
      </c>
      <c r="F168" s="1" t="s">
        <v>21</v>
      </c>
      <c r="G168" s="1" t="s">
        <v>246</v>
      </c>
      <c r="H168" s="1" t="s">
        <v>15</v>
      </c>
      <c r="I168" s="1">
        <v>29</v>
      </c>
      <c r="J168" s="1" t="s">
        <v>66</v>
      </c>
      <c r="K168" s="1" t="s">
        <v>47</v>
      </c>
    </row>
    <row r="169" spans="2:11" ht="14.25" customHeight="1" x14ac:dyDescent="0.35">
      <c r="B169" s="2">
        <v>44674</v>
      </c>
      <c r="C169" s="1" t="s">
        <v>408</v>
      </c>
      <c r="D169" s="1" t="s">
        <v>196</v>
      </c>
      <c r="E169" s="1" t="s">
        <v>197</v>
      </c>
      <c r="F169" s="1" t="s">
        <v>13</v>
      </c>
      <c r="G169" s="1" t="s">
        <v>198</v>
      </c>
      <c r="H169" s="1" t="s">
        <v>30</v>
      </c>
      <c r="I169" s="1">
        <v>39</v>
      </c>
      <c r="J169" s="1" t="s">
        <v>37</v>
      </c>
      <c r="K169" s="1" t="s">
        <v>47</v>
      </c>
    </row>
    <row r="170" spans="2:11" ht="14.25" customHeight="1" x14ac:dyDescent="0.35">
      <c r="B170" s="2">
        <v>44675</v>
      </c>
      <c r="C170" s="1" t="s">
        <v>409</v>
      </c>
      <c r="D170" s="1" t="s">
        <v>34</v>
      </c>
      <c r="E170" s="1" t="s">
        <v>35</v>
      </c>
      <c r="F170" s="1" t="s">
        <v>13</v>
      </c>
      <c r="G170" s="1" t="s">
        <v>36</v>
      </c>
      <c r="H170" s="1" t="s">
        <v>23</v>
      </c>
      <c r="I170" s="1">
        <v>61</v>
      </c>
      <c r="J170" s="1" t="s">
        <v>42</v>
      </c>
      <c r="K170" s="1" t="s">
        <v>61</v>
      </c>
    </row>
    <row r="171" spans="2:11" ht="14.25" customHeight="1" x14ac:dyDescent="0.35">
      <c r="B171" s="2">
        <v>44677</v>
      </c>
      <c r="C171" s="1" t="s">
        <v>410</v>
      </c>
      <c r="D171" s="1" t="s">
        <v>196</v>
      </c>
      <c r="E171" s="1" t="s">
        <v>197</v>
      </c>
      <c r="F171" s="1" t="s">
        <v>13</v>
      </c>
      <c r="G171" s="1" t="s">
        <v>198</v>
      </c>
      <c r="H171" s="1" t="s">
        <v>30</v>
      </c>
      <c r="I171" s="1">
        <v>39</v>
      </c>
      <c r="J171" s="1" t="s">
        <v>66</v>
      </c>
      <c r="K171" s="1" t="s">
        <v>17</v>
      </c>
    </row>
    <row r="172" spans="2:11" ht="14.25" customHeight="1" x14ac:dyDescent="0.35">
      <c r="B172" s="2">
        <v>44677</v>
      </c>
      <c r="C172" s="1" t="s">
        <v>411</v>
      </c>
      <c r="D172" s="1" t="s">
        <v>259</v>
      </c>
      <c r="E172" s="1" t="s">
        <v>818</v>
      </c>
      <c r="F172" s="1" t="s">
        <v>21</v>
      </c>
      <c r="G172" s="1" t="s">
        <v>260</v>
      </c>
      <c r="H172" s="1" t="s">
        <v>30</v>
      </c>
      <c r="I172" s="1">
        <v>45</v>
      </c>
      <c r="J172" s="1" t="s">
        <v>66</v>
      </c>
      <c r="K172" s="1" t="s">
        <v>32</v>
      </c>
    </row>
    <row r="173" spans="2:11" ht="14.25" customHeight="1" x14ac:dyDescent="0.35">
      <c r="B173" s="2">
        <v>44678</v>
      </c>
      <c r="C173" s="1" t="s">
        <v>412</v>
      </c>
      <c r="D173" s="1" t="s">
        <v>158</v>
      </c>
      <c r="E173" s="1" t="s">
        <v>159</v>
      </c>
      <c r="F173" s="1" t="s">
        <v>13</v>
      </c>
      <c r="G173" s="1" t="s">
        <v>160</v>
      </c>
      <c r="H173" s="1" t="s">
        <v>23</v>
      </c>
      <c r="I173" s="1">
        <v>60</v>
      </c>
      <c r="J173" s="1" t="s">
        <v>151</v>
      </c>
      <c r="K173" s="1" t="s">
        <v>32</v>
      </c>
    </row>
    <row r="174" spans="2:11" ht="14.25" customHeight="1" x14ac:dyDescent="0.35">
      <c r="B174" s="2">
        <v>44679</v>
      </c>
      <c r="C174" s="1" t="s">
        <v>413</v>
      </c>
      <c r="D174" s="1" t="s">
        <v>306</v>
      </c>
      <c r="E174" s="1" t="s">
        <v>307</v>
      </c>
      <c r="F174" s="1" t="s">
        <v>13</v>
      </c>
      <c r="G174" s="1" t="s">
        <v>308</v>
      </c>
      <c r="H174" s="1" t="s">
        <v>30</v>
      </c>
      <c r="I174" s="1">
        <v>21</v>
      </c>
      <c r="J174" s="1" t="s">
        <v>31</v>
      </c>
      <c r="K174" s="1" t="s">
        <v>17</v>
      </c>
    </row>
    <row r="175" spans="2:11" ht="14.25" customHeight="1" x14ac:dyDescent="0.35">
      <c r="B175" s="2">
        <v>44679</v>
      </c>
      <c r="C175" s="1" t="s">
        <v>414</v>
      </c>
      <c r="D175" s="1" t="s">
        <v>223</v>
      </c>
      <c r="E175" s="1" t="s">
        <v>224</v>
      </c>
      <c r="F175" s="1" t="s">
        <v>21</v>
      </c>
      <c r="G175" s="1" t="s">
        <v>225</v>
      </c>
      <c r="H175" s="1" t="s">
        <v>30</v>
      </c>
      <c r="I175" s="1">
        <v>68</v>
      </c>
      <c r="J175" s="1" t="s">
        <v>16</v>
      </c>
      <c r="K175" s="1" t="s">
        <v>47</v>
      </c>
    </row>
    <row r="176" spans="2:11" ht="14.25" customHeight="1" x14ac:dyDescent="0.35">
      <c r="B176" s="2">
        <v>44680</v>
      </c>
      <c r="C176" s="1" t="s">
        <v>415</v>
      </c>
      <c r="D176" s="1" t="s">
        <v>75</v>
      </c>
      <c r="E176" s="1" t="s">
        <v>76</v>
      </c>
      <c r="F176" s="1" t="s">
        <v>21</v>
      </c>
      <c r="G176" s="1" t="s">
        <v>77</v>
      </c>
      <c r="H176" s="1" t="s">
        <v>30</v>
      </c>
      <c r="I176" s="1">
        <v>19</v>
      </c>
      <c r="J176" s="1" t="s">
        <v>42</v>
      </c>
      <c r="K176" s="1" t="s">
        <v>17</v>
      </c>
    </row>
    <row r="177" spans="2:11" ht="14.25" customHeight="1" x14ac:dyDescent="0.35">
      <c r="B177" s="2">
        <v>44681</v>
      </c>
      <c r="C177" s="1" t="s">
        <v>416</v>
      </c>
      <c r="D177" s="1" t="s">
        <v>169</v>
      </c>
      <c r="E177" s="1" t="s">
        <v>170</v>
      </c>
      <c r="F177" s="1" t="s">
        <v>13</v>
      </c>
      <c r="G177" s="1" t="s">
        <v>171</v>
      </c>
      <c r="H177" s="1" t="s">
        <v>30</v>
      </c>
      <c r="I177" s="1">
        <v>29</v>
      </c>
      <c r="J177" s="1" t="s">
        <v>66</v>
      </c>
      <c r="K177" s="1" t="s">
        <v>25</v>
      </c>
    </row>
    <row r="178" spans="2:11" ht="14.25" customHeight="1" x14ac:dyDescent="0.35">
      <c r="B178" s="2">
        <v>44681</v>
      </c>
      <c r="C178" s="1" t="s">
        <v>417</v>
      </c>
      <c r="D178" s="1" t="s">
        <v>295</v>
      </c>
      <c r="E178" s="1" t="s">
        <v>296</v>
      </c>
      <c r="F178" s="1" t="s">
        <v>13</v>
      </c>
      <c r="G178" s="1" t="s">
        <v>297</v>
      </c>
      <c r="H178" s="1" t="s">
        <v>23</v>
      </c>
      <c r="I178" s="1">
        <v>47</v>
      </c>
      <c r="J178" s="1" t="s">
        <v>66</v>
      </c>
      <c r="K178" s="1" t="s">
        <v>47</v>
      </c>
    </row>
    <row r="179" spans="2:11" ht="14.25" customHeight="1" x14ac:dyDescent="0.35">
      <c r="B179" s="2">
        <v>44682</v>
      </c>
      <c r="C179" s="1" t="s">
        <v>418</v>
      </c>
      <c r="D179" s="1" t="s">
        <v>125</v>
      </c>
      <c r="E179" s="1" t="s">
        <v>126</v>
      </c>
      <c r="F179" s="1" t="s">
        <v>21</v>
      </c>
      <c r="G179" s="1" t="s">
        <v>127</v>
      </c>
      <c r="H179" s="1" t="s">
        <v>23</v>
      </c>
      <c r="I179" s="1">
        <v>76</v>
      </c>
      <c r="J179" s="1" t="s">
        <v>52</v>
      </c>
      <c r="K179" s="1" t="s">
        <v>32</v>
      </c>
    </row>
    <row r="180" spans="2:11" ht="14.25" customHeight="1" x14ac:dyDescent="0.35">
      <c r="B180" s="2">
        <v>44682</v>
      </c>
      <c r="C180" s="1" t="s">
        <v>419</v>
      </c>
      <c r="D180" s="1" t="s">
        <v>200</v>
      </c>
      <c r="E180" s="1" t="s">
        <v>201</v>
      </c>
      <c r="F180" s="1" t="s">
        <v>21</v>
      </c>
      <c r="G180" s="1" t="s">
        <v>202</v>
      </c>
      <c r="H180" s="1" t="s">
        <v>23</v>
      </c>
      <c r="I180" s="1">
        <v>48</v>
      </c>
      <c r="J180" s="1" t="s">
        <v>66</v>
      </c>
      <c r="K180" s="1" t="s">
        <v>25</v>
      </c>
    </row>
    <row r="181" spans="2:11" ht="14.25" customHeight="1" x14ac:dyDescent="0.35">
      <c r="B181" s="2">
        <v>44682</v>
      </c>
      <c r="C181" s="1" t="s">
        <v>420</v>
      </c>
      <c r="D181" s="1" t="s">
        <v>289</v>
      </c>
      <c r="E181" s="1" t="s">
        <v>821</v>
      </c>
      <c r="F181" s="1" t="s">
        <v>21</v>
      </c>
      <c r="G181" s="1" t="s">
        <v>290</v>
      </c>
      <c r="H181" s="1" t="s">
        <v>15</v>
      </c>
      <c r="I181" s="1">
        <v>65</v>
      </c>
      <c r="J181" s="1" t="s">
        <v>66</v>
      </c>
      <c r="K181" s="1" t="s">
        <v>61</v>
      </c>
    </row>
    <row r="182" spans="2:11" ht="14.25" customHeight="1" x14ac:dyDescent="0.35">
      <c r="B182" s="2">
        <v>44682</v>
      </c>
      <c r="C182" s="1" t="s">
        <v>421</v>
      </c>
      <c r="D182" s="1" t="s">
        <v>244</v>
      </c>
      <c r="E182" s="1" t="s">
        <v>245</v>
      </c>
      <c r="F182" s="1" t="s">
        <v>21</v>
      </c>
      <c r="G182" s="1" t="s">
        <v>246</v>
      </c>
      <c r="H182" s="1" t="s">
        <v>15</v>
      </c>
      <c r="I182" s="1">
        <v>29</v>
      </c>
      <c r="J182" s="1" t="s">
        <v>24</v>
      </c>
      <c r="K182" s="1" t="s">
        <v>47</v>
      </c>
    </row>
    <row r="183" spans="2:11" ht="14.25" customHeight="1" x14ac:dyDescent="0.35">
      <c r="B183" s="2">
        <v>44682</v>
      </c>
      <c r="C183" s="1" t="s">
        <v>422</v>
      </c>
      <c r="D183" s="1" t="s">
        <v>104</v>
      </c>
      <c r="E183" s="1" t="s">
        <v>806</v>
      </c>
      <c r="F183" s="1" t="s">
        <v>13</v>
      </c>
      <c r="G183" s="1" t="s">
        <v>105</v>
      </c>
      <c r="H183" s="1" t="s">
        <v>30</v>
      </c>
      <c r="I183" s="1">
        <v>64</v>
      </c>
      <c r="J183" s="1" t="s">
        <v>24</v>
      </c>
      <c r="K183" s="1" t="s">
        <v>61</v>
      </c>
    </row>
    <row r="184" spans="2:11" ht="14.25" customHeight="1" x14ac:dyDescent="0.35">
      <c r="B184" s="2">
        <v>44682</v>
      </c>
      <c r="C184" s="1" t="s">
        <v>423</v>
      </c>
      <c r="D184" s="1" t="s">
        <v>223</v>
      </c>
      <c r="E184" s="1" t="s">
        <v>224</v>
      </c>
      <c r="F184" s="1" t="s">
        <v>21</v>
      </c>
      <c r="G184" s="1" t="s">
        <v>225</v>
      </c>
      <c r="H184" s="1" t="s">
        <v>30</v>
      </c>
      <c r="I184" s="1">
        <v>68</v>
      </c>
      <c r="J184" s="1" t="s">
        <v>57</v>
      </c>
      <c r="K184" s="1" t="s">
        <v>17</v>
      </c>
    </row>
    <row r="185" spans="2:11" ht="14.25" customHeight="1" x14ac:dyDescent="0.35">
      <c r="B185" s="2">
        <v>44685</v>
      </c>
      <c r="C185" s="1" t="s">
        <v>424</v>
      </c>
      <c r="D185" s="1" t="s">
        <v>100</v>
      </c>
      <c r="E185" s="1" t="s">
        <v>101</v>
      </c>
      <c r="F185" s="1" t="s">
        <v>13</v>
      </c>
      <c r="G185" s="1" t="s">
        <v>102</v>
      </c>
      <c r="H185" s="1" t="s">
        <v>15</v>
      </c>
      <c r="I185" s="1">
        <v>59</v>
      </c>
      <c r="J185" s="1" t="s">
        <v>31</v>
      </c>
      <c r="K185" s="1" t="s">
        <v>25</v>
      </c>
    </row>
    <row r="186" spans="2:11" ht="14.25" customHeight="1" x14ac:dyDescent="0.35">
      <c r="B186" s="2">
        <v>44686</v>
      </c>
      <c r="C186" s="1" t="s">
        <v>425</v>
      </c>
      <c r="D186" s="1" t="s">
        <v>71</v>
      </c>
      <c r="E186" s="1" t="s">
        <v>802</v>
      </c>
      <c r="F186" s="1" t="s">
        <v>21</v>
      </c>
      <c r="G186" s="1" t="s">
        <v>72</v>
      </c>
      <c r="H186" s="1" t="s">
        <v>23</v>
      </c>
      <c r="I186" s="1">
        <v>54</v>
      </c>
      <c r="J186" s="1" t="s">
        <v>66</v>
      </c>
      <c r="K186" s="1" t="s">
        <v>17</v>
      </c>
    </row>
    <row r="187" spans="2:11" ht="14.25" customHeight="1" x14ac:dyDescent="0.35">
      <c r="B187" s="2">
        <v>44686</v>
      </c>
      <c r="C187" s="1" t="s">
        <v>426</v>
      </c>
      <c r="D187" s="1" t="s">
        <v>427</v>
      </c>
      <c r="E187" s="1" t="s">
        <v>828</v>
      </c>
      <c r="F187" s="1" t="s">
        <v>21</v>
      </c>
      <c r="G187" s="1" t="s">
        <v>428</v>
      </c>
      <c r="H187" s="1" t="s">
        <v>15</v>
      </c>
      <c r="I187" s="1">
        <v>48</v>
      </c>
      <c r="J187" s="1" t="s">
        <v>37</v>
      </c>
      <c r="K187" s="1" t="s">
        <v>32</v>
      </c>
    </row>
    <row r="188" spans="2:11" ht="14.25" customHeight="1" x14ac:dyDescent="0.35">
      <c r="B188" s="2">
        <v>44688</v>
      </c>
      <c r="C188" s="1" t="s">
        <v>429</v>
      </c>
      <c r="D188" s="1" t="s">
        <v>430</v>
      </c>
      <c r="E188" s="1" t="s">
        <v>829</v>
      </c>
      <c r="F188" s="1" t="s">
        <v>21</v>
      </c>
      <c r="G188" s="1" t="s">
        <v>431</v>
      </c>
      <c r="H188" s="1" t="s">
        <v>15</v>
      </c>
      <c r="I188" s="1">
        <v>26</v>
      </c>
      <c r="J188" s="1" t="s">
        <v>167</v>
      </c>
      <c r="K188" s="1" t="s">
        <v>32</v>
      </c>
    </row>
    <row r="189" spans="2:11" ht="14.25" customHeight="1" x14ac:dyDescent="0.35">
      <c r="B189" s="2">
        <v>44688</v>
      </c>
      <c r="C189" s="1" t="s">
        <v>432</v>
      </c>
      <c r="D189" s="1" t="s">
        <v>87</v>
      </c>
      <c r="E189" s="1" t="s">
        <v>88</v>
      </c>
      <c r="F189" s="1" t="s">
        <v>13</v>
      </c>
      <c r="G189" s="1" t="s">
        <v>89</v>
      </c>
      <c r="H189" s="1" t="s">
        <v>23</v>
      </c>
      <c r="I189" s="1">
        <v>36</v>
      </c>
      <c r="J189" s="1" t="s">
        <v>66</v>
      </c>
      <c r="K189" s="1" t="s">
        <v>61</v>
      </c>
    </row>
    <row r="190" spans="2:11" ht="14.25" customHeight="1" x14ac:dyDescent="0.35">
      <c r="B190" s="2">
        <v>44689</v>
      </c>
      <c r="C190" s="1" t="s">
        <v>433</v>
      </c>
      <c r="D190" s="1" t="s">
        <v>244</v>
      </c>
      <c r="E190" s="1" t="s">
        <v>245</v>
      </c>
      <c r="F190" s="1" t="s">
        <v>21</v>
      </c>
      <c r="G190" s="1" t="s">
        <v>246</v>
      </c>
      <c r="H190" s="1" t="s">
        <v>15</v>
      </c>
      <c r="I190" s="1">
        <v>29</v>
      </c>
      <c r="J190" s="1" t="s">
        <v>16</v>
      </c>
      <c r="K190" s="1" t="s">
        <v>25</v>
      </c>
    </row>
    <row r="191" spans="2:11" ht="14.25" customHeight="1" x14ac:dyDescent="0.35">
      <c r="B191" s="2">
        <v>44689</v>
      </c>
      <c r="C191" s="1" t="s">
        <v>434</v>
      </c>
      <c r="D191" s="1" t="s">
        <v>265</v>
      </c>
      <c r="E191" s="1" t="s">
        <v>266</v>
      </c>
      <c r="F191" s="1" t="s">
        <v>13</v>
      </c>
      <c r="G191" s="1" t="s">
        <v>267</v>
      </c>
      <c r="H191" s="1" t="s">
        <v>15</v>
      </c>
      <c r="I191" s="1">
        <v>72</v>
      </c>
      <c r="J191" s="1" t="s">
        <v>57</v>
      </c>
      <c r="K191" s="1" t="s">
        <v>32</v>
      </c>
    </row>
    <row r="192" spans="2:11" ht="14.25" customHeight="1" x14ac:dyDescent="0.35">
      <c r="B192" s="2">
        <v>44690</v>
      </c>
      <c r="C192" s="1" t="s">
        <v>435</v>
      </c>
      <c r="D192" s="1" t="s">
        <v>68</v>
      </c>
      <c r="E192" s="1" t="s">
        <v>801</v>
      </c>
      <c r="F192" s="1" t="s">
        <v>13</v>
      </c>
      <c r="G192" s="1" t="s">
        <v>69</v>
      </c>
      <c r="H192" s="1" t="s">
        <v>30</v>
      </c>
      <c r="I192" s="1">
        <v>71</v>
      </c>
      <c r="J192" s="1" t="s">
        <v>24</v>
      </c>
      <c r="K192" s="1" t="s">
        <v>25</v>
      </c>
    </row>
    <row r="193" spans="2:11" ht="14.25" customHeight="1" x14ac:dyDescent="0.35">
      <c r="B193" s="2">
        <v>44690</v>
      </c>
      <c r="C193" s="1" t="s">
        <v>436</v>
      </c>
      <c r="D193" s="1" t="s">
        <v>100</v>
      </c>
      <c r="E193" s="1" t="s">
        <v>101</v>
      </c>
      <c r="F193" s="1" t="s">
        <v>13</v>
      </c>
      <c r="G193" s="1" t="s">
        <v>102</v>
      </c>
      <c r="H193" s="1" t="s">
        <v>15</v>
      </c>
      <c r="I193" s="1">
        <v>59</v>
      </c>
      <c r="J193" s="1" t="s">
        <v>16</v>
      </c>
      <c r="K193" s="1" t="s">
        <v>47</v>
      </c>
    </row>
    <row r="194" spans="2:11" ht="14.25" customHeight="1" x14ac:dyDescent="0.35">
      <c r="B194" s="2">
        <v>44691</v>
      </c>
      <c r="C194" s="1" t="s">
        <v>437</v>
      </c>
      <c r="D194" s="1" t="s">
        <v>319</v>
      </c>
      <c r="E194" s="1" t="s">
        <v>823</v>
      </c>
      <c r="F194" s="1" t="s">
        <v>21</v>
      </c>
      <c r="G194" s="1" t="s">
        <v>320</v>
      </c>
      <c r="H194" s="1" t="s">
        <v>30</v>
      </c>
      <c r="I194" s="1">
        <v>45</v>
      </c>
      <c r="J194" s="1" t="s">
        <v>31</v>
      </c>
      <c r="K194" s="1" t="s">
        <v>17</v>
      </c>
    </row>
    <row r="195" spans="2:11" ht="14.25" customHeight="1" x14ac:dyDescent="0.35">
      <c r="B195" s="2">
        <v>44691</v>
      </c>
      <c r="C195" s="1" t="s">
        <v>438</v>
      </c>
      <c r="D195" s="1" t="s">
        <v>205</v>
      </c>
      <c r="E195" s="1" t="s">
        <v>206</v>
      </c>
      <c r="F195" s="1" t="s">
        <v>13</v>
      </c>
      <c r="G195" s="1" t="s">
        <v>207</v>
      </c>
      <c r="H195" s="1" t="s">
        <v>15</v>
      </c>
      <c r="I195" s="1">
        <v>39</v>
      </c>
      <c r="J195" s="1" t="s">
        <v>16</v>
      </c>
      <c r="K195" s="1" t="s">
        <v>17</v>
      </c>
    </row>
    <row r="196" spans="2:11" ht="14.25" customHeight="1" x14ac:dyDescent="0.35">
      <c r="B196" s="2">
        <v>44691</v>
      </c>
      <c r="C196" s="1" t="s">
        <v>439</v>
      </c>
      <c r="D196" s="1" t="s">
        <v>100</v>
      </c>
      <c r="E196" s="1" t="s">
        <v>101</v>
      </c>
      <c r="F196" s="1" t="s">
        <v>13</v>
      </c>
      <c r="G196" s="1" t="s">
        <v>102</v>
      </c>
      <c r="H196" s="1" t="s">
        <v>15</v>
      </c>
      <c r="I196" s="1">
        <v>59</v>
      </c>
      <c r="J196" s="1" t="s">
        <v>57</v>
      </c>
      <c r="K196" s="1" t="s">
        <v>17</v>
      </c>
    </row>
    <row r="197" spans="2:11" ht="14.25" customHeight="1" x14ac:dyDescent="0.35">
      <c r="B197" s="2">
        <v>44692</v>
      </c>
      <c r="C197" s="1" t="s">
        <v>440</v>
      </c>
      <c r="D197" s="1" t="s">
        <v>196</v>
      </c>
      <c r="E197" s="1" t="s">
        <v>197</v>
      </c>
      <c r="F197" s="1" t="s">
        <v>13</v>
      </c>
      <c r="G197" s="1" t="s">
        <v>198</v>
      </c>
      <c r="H197" s="1" t="s">
        <v>30</v>
      </c>
      <c r="I197" s="1">
        <v>39</v>
      </c>
      <c r="J197" s="1" t="s">
        <v>37</v>
      </c>
      <c r="K197" s="1" t="s">
        <v>25</v>
      </c>
    </row>
    <row r="198" spans="2:11" ht="14.25" customHeight="1" x14ac:dyDescent="0.35">
      <c r="B198" s="2">
        <v>44692</v>
      </c>
      <c r="C198" s="1" t="s">
        <v>441</v>
      </c>
      <c r="D198" s="1" t="s">
        <v>107</v>
      </c>
      <c r="E198" s="1" t="s">
        <v>807</v>
      </c>
      <c r="F198" s="1" t="s">
        <v>21</v>
      </c>
      <c r="G198" s="1" t="s">
        <v>108</v>
      </c>
      <c r="H198" s="1" t="s">
        <v>15</v>
      </c>
      <c r="I198" s="1">
        <v>73</v>
      </c>
      <c r="J198" s="1" t="s">
        <v>151</v>
      </c>
      <c r="K198" s="1" t="s">
        <v>47</v>
      </c>
    </row>
    <row r="199" spans="2:11" ht="14.25" customHeight="1" x14ac:dyDescent="0.35">
      <c r="B199" s="2">
        <v>44693</v>
      </c>
      <c r="C199" s="1" t="s">
        <v>442</v>
      </c>
      <c r="D199" s="1" t="s">
        <v>443</v>
      </c>
      <c r="E199" s="1" t="s">
        <v>830</v>
      </c>
      <c r="F199" s="1" t="s">
        <v>13</v>
      </c>
      <c r="G199" s="1" t="s">
        <v>444</v>
      </c>
      <c r="H199" s="1" t="s">
        <v>15</v>
      </c>
      <c r="I199" s="1">
        <v>28</v>
      </c>
      <c r="J199" s="1" t="s">
        <v>66</v>
      </c>
      <c r="K199" s="1" t="s">
        <v>17</v>
      </c>
    </row>
    <row r="200" spans="2:11" ht="14.25" customHeight="1" x14ac:dyDescent="0.35">
      <c r="B200" s="2">
        <v>44694</v>
      </c>
      <c r="C200" s="1" t="s">
        <v>445</v>
      </c>
      <c r="D200" s="1" t="s">
        <v>446</v>
      </c>
      <c r="E200" s="1" t="s">
        <v>447</v>
      </c>
      <c r="F200" s="1" t="s">
        <v>21</v>
      </c>
      <c r="G200" s="1" t="s">
        <v>448</v>
      </c>
      <c r="H200" s="1" t="s">
        <v>23</v>
      </c>
      <c r="I200" s="1">
        <v>75</v>
      </c>
      <c r="J200" s="1" t="s">
        <v>24</v>
      </c>
      <c r="K200" s="1" t="s">
        <v>47</v>
      </c>
    </row>
    <row r="201" spans="2:11" ht="14.25" customHeight="1" x14ac:dyDescent="0.35">
      <c r="B201" s="2">
        <v>44694</v>
      </c>
      <c r="C201" s="1" t="s">
        <v>449</v>
      </c>
      <c r="D201" s="1" t="s">
        <v>162</v>
      </c>
      <c r="E201" s="1" t="s">
        <v>811</v>
      </c>
      <c r="F201" s="1" t="s">
        <v>13</v>
      </c>
      <c r="G201" s="1" t="s">
        <v>163</v>
      </c>
      <c r="H201" s="1" t="s">
        <v>15</v>
      </c>
      <c r="I201" s="1">
        <v>64</v>
      </c>
      <c r="J201" s="1" t="s">
        <v>37</v>
      </c>
      <c r="K201" s="1" t="s">
        <v>47</v>
      </c>
    </row>
    <row r="202" spans="2:11" ht="14.25" customHeight="1" x14ac:dyDescent="0.35">
      <c r="B202" s="2">
        <v>44695</v>
      </c>
      <c r="C202" s="1" t="s">
        <v>450</v>
      </c>
      <c r="D202" s="1" t="s">
        <v>269</v>
      </c>
      <c r="E202" s="1" t="s">
        <v>819</v>
      </c>
      <c r="F202" s="1" t="s">
        <v>13</v>
      </c>
      <c r="G202" s="1" t="s">
        <v>270</v>
      </c>
      <c r="H202" s="1" t="s">
        <v>15</v>
      </c>
      <c r="I202" s="1">
        <v>40</v>
      </c>
      <c r="J202" s="1" t="s">
        <v>37</v>
      </c>
      <c r="K202" s="1" t="s">
        <v>47</v>
      </c>
    </row>
    <row r="203" spans="2:11" ht="14.25" customHeight="1" x14ac:dyDescent="0.35">
      <c r="B203" s="2">
        <v>44695</v>
      </c>
      <c r="C203" s="1" t="s">
        <v>451</v>
      </c>
      <c r="D203" s="1" t="s">
        <v>232</v>
      </c>
      <c r="E203" s="1" t="s">
        <v>816</v>
      </c>
      <c r="F203" s="1" t="s">
        <v>21</v>
      </c>
      <c r="G203" s="1" t="s">
        <v>233</v>
      </c>
      <c r="H203" s="1" t="s">
        <v>15</v>
      </c>
      <c r="I203" s="1">
        <v>23</v>
      </c>
      <c r="J203" s="1" t="s">
        <v>167</v>
      </c>
      <c r="K203" s="1" t="s">
        <v>25</v>
      </c>
    </row>
    <row r="204" spans="2:11" ht="14.25" customHeight="1" x14ac:dyDescent="0.35">
      <c r="B204" s="2">
        <v>44696</v>
      </c>
      <c r="C204" s="1" t="s">
        <v>452</v>
      </c>
      <c r="D204" s="1" t="s">
        <v>339</v>
      </c>
      <c r="E204" s="1" t="s">
        <v>340</v>
      </c>
      <c r="F204" s="1" t="s">
        <v>13</v>
      </c>
      <c r="G204" s="1" t="s">
        <v>341</v>
      </c>
      <c r="H204" s="1" t="s">
        <v>23</v>
      </c>
      <c r="I204" s="1">
        <v>29</v>
      </c>
      <c r="J204" s="1" t="s">
        <v>37</v>
      </c>
      <c r="K204" s="1" t="s">
        <v>61</v>
      </c>
    </row>
    <row r="205" spans="2:11" ht="14.25" customHeight="1" x14ac:dyDescent="0.35">
      <c r="B205" s="2">
        <v>44698</v>
      </c>
      <c r="C205" s="1" t="s">
        <v>453</v>
      </c>
      <c r="D205" s="1" t="s">
        <v>427</v>
      </c>
      <c r="E205" s="1" t="s">
        <v>828</v>
      </c>
      <c r="F205" s="1" t="s">
        <v>21</v>
      </c>
      <c r="G205" s="1" t="s">
        <v>428</v>
      </c>
      <c r="H205" s="1" t="s">
        <v>15</v>
      </c>
      <c r="I205" s="1">
        <v>48</v>
      </c>
      <c r="J205" s="1" t="s">
        <v>52</v>
      </c>
      <c r="K205" s="1" t="s">
        <v>17</v>
      </c>
    </row>
    <row r="206" spans="2:11" ht="14.25" customHeight="1" x14ac:dyDescent="0.35">
      <c r="B206" s="2">
        <v>44698</v>
      </c>
      <c r="C206" s="1" t="s">
        <v>454</v>
      </c>
      <c r="D206" s="1" t="s">
        <v>327</v>
      </c>
      <c r="E206" s="1" t="s">
        <v>328</v>
      </c>
      <c r="F206" s="1" t="s">
        <v>13</v>
      </c>
      <c r="G206" s="1" t="s">
        <v>329</v>
      </c>
      <c r="H206" s="1" t="s">
        <v>23</v>
      </c>
      <c r="I206" s="1">
        <v>37</v>
      </c>
      <c r="J206" s="1" t="s">
        <v>57</v>
      </c>
      <c r="K206" s="1" t="s">
        <v>61</v>
      </c>
    </row>
    <row r="207" spans="2:11" ht="14.25" customHeight="1" x14ac:dyDescent="0.35">
      <c r="B207" s="2">
        <v>44699</v>
      </c>
      <c r="C207" s="1" t="s">
        <v>455</v>
      </c>
      <c r="D207" s="1" t="s">
        <v>121</v>
      </c>
      <c r="E207" s="1" t="s">
        <v>122</v>
      </c>
      <c r="F207" s="1" t="s">
        <v>13</v>
      </c>
      <c r="G207" s="1" t="s">
        <v>123</v>
      </c>
      <c r="H207" s="1" t="s">
        <v>15</v>
      </c>
      <c r="I207" s="1">
        <v>59</v>
      </c>
      <c r="J207" s="1" t="s">
        <v>31</v>
      </c>
      <c r="K207" s="1" t="s">
        <v>25</v>
      </c>
    </row>
    <row r="208" spans="2:11" ht="14.25" customHeight="1" x14ac:dyDescent="0.35">
      <c r="B208" s="2">
        <v>44699</v>
      </c>
      <c r="C208" s="1" t="s">
        <v>456</v>
      </c>
      <c r="D208" s="1" t="s">
        <v>92</v>
      </c>
      <c r="E208" s="1" t="s">
        <v>804</v>
      </c>
      <c r="F208" s="1" t="s">
        <v>21</v>
      </c>
      <c r="G208" s="1" t="s">
        <v>93</v>
      </c>
      <c r="H208" s="1" t="s">
        <v>23</v>
      </c>
      <c r="I208" s="1">
        <v>31</v>
      </c>
      <c r="J208" s="1" t="s">
        <v>57</v>
      </c>
      <c r="K208" s="1" t="s">
        <v>32</v>
      </c>
    </row>
    <row r="209" spans="2:11" ht="14.25" customHeight="1" x14ac:dyDescent="0.35">
      <c r="B209" s="2">
        <v>44700</v>
      </c>
      <c r="C209" s="1" t="s">
        <v>457</v>
      </c>
      <c r="D209" s="1" t="s">
        <v>299</v>
      </c>
      <c r="E209" s="1" t="s">
        <v>300</v>
      </c>
      <c r="F209" s="1" t="s">
        <v>13</v>
      </c>
      <c r="G209" s="1" t="s">
        <v>301</v>
      </c>
      <c r="H209" s="1" t="s">
        <v>30</v>
      </c>
      <c r="I209" s="1">
        <v>76</v>
      </c>
      <c r="J209" s="1" t="s">
        <v>31</v>
      </c>
      <c r="K209" s="1" t="s">
        <v>47</v>
      </c>
    </row>
    <row r="210" spans="2:11" ht="14.25" customHeight="1" x14ac:dyDescent="0.35">
      <c r="B210" s="2">
        <v>44701</v>
      </c>
      <c r="C210" s="1" t="s">
        <v>458</v>
      </c>
      <c r="D210" s="1" t="s">
        <v>59</v>
      </c>
      <c r="E210" s="1" t="s">
        <v>800</v>
      </c>
      <c r="F210" s="1" t="s">
        <v>13</v>
      </c>
      <c r="G210" s="1" t="s">
        <v>60</v>
      </c>
      <c r="H210" s="1" t="s">
        <v>15</v>
      </c>
      <c r="I210" s="1">
        <v>48</v>
      </c>
      <c r="J210" s="1" t="s">
        <v>37</v>
      </c>
      <c r="K210" s="1" t="s">
        <v>32</v>
      </c>
    </row>
    <row r="211" spans="2:11" ht="14.25" customHeight="1" x14ac:dyDescent="0.35">
      <c r="B211" s="2">
        <v>44701</v>
      </c>
      <c r="C211" s="1" t="s">
        <v>459</v>
      </c>
      <c r="D211" s="1" t="s">
        <v>209</v>
      </c>
      <c r="E211" s="1" t="s">
        <v>814</v>
      </c>
      <c r="F211" s="1" t="s">
        <v>21</v>
      </c>
      <c r="G211" s="1" t="s">
        <v>210</v>
      </c>
      <c r="H211" s="1" t="s">
        <v>23</v>
      </c>
      <c r="I211" s="1">
        <v>39</v>
      </c>
      <c r="J211" s="1" t="s">
        <v>37</v>
      </c>
      <c r="K211" s="1" t="s">
        <v>17</v>
      </c>
    </row>
    <row r="212" spans="2:11" ht="14.25" customHeight="1" x14ac:dyDescent="0.35">
      <c r="B212" s="2">
        <v>44701</v>
      </c>
      <c r="C212" s="1" t="s">
        <v>460</v>
      </c>
      <c r="D212" s="1" t="s">
        <v>369</v>
      </c>
      <c r="E212" s="1" t="s">
        <v>826</v>
      </c>
      <c r="F212" s="1" t="s">
        <v>13</v>
      </c>
      <c r="G212" s="1" t="s">
        <v>370</v>
      </c>
      <c r="H212" s="1" t="s">
        <v>30</v>
      </c>
      <c r="I212" s="1">
        <v>32</v>
      </c>
      <c r="J212" s="1" t="s">
        <v>16</v>
      </c>
      <c r="K212" s="1" t="s">
        <v>61</v>
      </c>
    </row>
    <row r="213" spans="2:11" ht="14.25" customHeight="1" x14ac:dyDescent="0.35">
      <c r="B213" s="2">
        <v>44701</v>
      </c>
      <c r="C213" s="1" t="s">
        <v>461</v>
      </c>
      <c r="D213" s="1" t="s">
        <v>462</v>
      </c>
      <c r="E213" s="1" t="s">
        <v>831</v>
      </c>
      <c r="F213" s="1" t="s">
        <v>13</v>
      </c>
      <c r="G213" s="1" t="s">
        <v>463</v>
      </c>
      <c r="H213" s="1" t="s">
        <v>23</v>
      </c>
      <c r="I213" s="1">
        <v>48</v>
      </c>
      <c r="J213" s="1" t="s">
        <v>66</v>
      </c>
      <c r="K213" s="1" t="s">
        <v>61</v>
      </c>
    </row>
    <row r="214" spans="2:11" ht="14.25" customHeight="1" x14ac:dyDescent="0.35">
      <c r="B214" s="2">
        <v>44702</v>
      </c>
      <c r="C214" s="1" t="s">
        <v>464</v>
      </c>
      <c r="D214" s="1" t="s">
        <v>265</v>
      </c>
      <c r="E214" s="1" t="s">
        <v>266</v>
      </c>
      <c r="F214" s="1" t="s">
        <v>13</v>
      </c>
      <c r="G214" s="1" t="s">
        <v>267</v>
      </c>
      <c r="H214" s="1" t="s">
        <v>15</v>
      </c>
      <c r="I214" s="1">
        <v>72</v>
      </c>
      <c r="J214" s="1" t="s">
        <v>52</v>
      </c>
      <c r="K214" s="1" t="s">
        <v>25</v>
      </c>
    </row>
    <row r="215" spans="2:11" ht="14.25" customHeight="1" x14ac:dyDescent="0.35">
      <c r="B215" s="2">
        <v>44703</v>
      </c>
      <c r="C215" s="1" t="s">
        <v>465</v>
      </c>
      <c r="D215" s="1" t="s">
        <v>178</v>
      </c>
      <c r="E215" s="1" t="s">
        <v>179</v>
      </c>
      <c r="F215" s="1" t="s">
        <v>13</v>
      </c>
      <c r="G215" s="1" t="s">
        <v>180</v>
      </c>
      <c r="H215" s="1" t="s">
        <v>30</v>
      </c>
      <c r="I215" s="1">
        <v>63</v>
      </c>
      <c r="J215" s="1" t="s">
        <v>42</v>
      </c>
      <c r="K215" s="1" t="s">
        <v>61</v>
      </c>
    </row>
    <row r="216" spans="2:11" ht="14.25" customHeight="1" x14ac:dyDescent="0.35">
      <c r="B216" s="2">
        <v>44704</v>
      </c>
      <c r="C216" s="1" t="s">
        <v>466</v>
      </c>
      <c r="D216" s="1" t="s">
        <v>361</v>
      </c>
      <c r="E216" s="1" t="s">
        <v>362</v>
      </c>
      <c r="F216" s="1" t="s">
        <v>21</v>
      </c>
      <c r="G216" s="1" t="s">
        <v>363</v>
      </c>
      <c r="H216" s="1" t="s">
        <v>15</v>
      </c>
      <c r="I216" s="1">
        <v>66</v>
      </c>
      <c r="J216" s="1" t="s">
        <v>37</v>
      </c>
      <c r="K216" s="1" t="s">
        <v>32</v>
      </c>
    </row>
    <row r="217" spans="2:11" ht="14.25" customHeight="1" x14ac:dyDescent="0.35">
      <c r="B217" s="2">
        <v>44705</v>
      </c>
      <c r="C217" s="1" t="s">
        <v>467</v>
      </c>
      <c r="D217" s="1" t="s">
        <v>118</v>
      </c>
      <c r="E217" s="1" t="s">
        <v>809</v>
      </c>
      <c r="F217" s="1" t="s">
        <v>21</v>
      </c>
      <c r="G217" s="1" t="s">
        <v>119</v>
      </c>
      <c r="H217" s="1" t="s">
        <v>30</v>
      </c>
      <c r="I217" s="1">
        <v>19</v>
      </c>
      <c r="J217" s="1" t="s">
        <v>31</v>
      </c>
      <c r="K217" s="1" t="s">
        <v>61</v>
      </c>
    </row>
    <row r="218" spans="2:11" ht="14.25" customHeight="1" x14ac:dyDescent="0.35">
      <c r="B218" s="2">
        <v>44707</v>
      </c>
      <c r="C218" s="1" t="s">
        <v>468</v>
      </c>
      <c r="D218" s="1" t="s">
        <v>154</v>
      </c>
      <c r="E218" s="1" t="s">
        <v>155</v>
      </c>
      <c r="F218" s="1" t="s">
        <v>21</v>
      </c>
      <c r="G218" s="1" t="s">
        <v>156</v>
      </c>
      <c r="H218" s="1" t="s">
        <v>23</v>
      </c>
      <c r="I218" s="1">
        <v>68</v>
      </c>
      <c r="J218" s="1" t="s">
        <v>42</v>
      </c>
      <c r="K218" s="1" t="s">
        <v>47</v>
      </c>
    </row>
    <row r="219" spans="2:11" ht="14.25" customHeight="1" x14ac:dyDescent="0.35">
      <c r="B219" s="2">
        <v>44707</v>
      </c>
      <c r="C219" s="1" t="s">
        <v>469</v>
      </c>
      <c r="D219" s="1" t="s">
        <v>462</v>
      </c>
      <c r="E219" s="1" t="s">
        <v>831</v>
      </c>
      <c r="F219" s="1" t="s">
        <v>13</v>
      </c>
      <c r="G219" s="1" t="s">
        <v>463</v>
      </c>
      <c r="H219" s="1" t="s">
        <v>23</v>
      </c>
      <c r="I219" s="1">
        <v>48</v>
      </c>
      <c r="J219" s="1" t="s">
        <v>42</v>
      </c>
      <c r="K219" s="1" t="s">
        <v>47</v>
      </c>
    </row>
    <row r="220" spans="2:11" ht="14.25" customHeight="1" x14ac:dyDescent="0.35">
      <c r="B220" s="2">
        <v>44708</v>
      </c>
      <c r="C220" s="1" t="s">
        <v>470</v>
      </c>
      <c r="D220" s="1" t="s">
        <v>443</v>
      </c>
      <c r="E220" s="1" t="s">
        <v>830</v>
      </c>
      <c r="F220" s="1" t="s">
        <v>13</v>
      </c>
      <c r="G220" s="1" t="s">
        <v>444</v>
      </c>
      <c r="H220" s="1" t="s">
        <v>15</v>
      </c>
      <c r="I220" s="1">
        <v>28</v>
      </c>
      <c r="J220" s="1" t="s">
        <v>151</v>
      </c>
      <c r="K220" s="1" t="s">
        <v>61</v>
      </c>
    </row>
    <row r="221" spans="2:11" ht="14.25" customHeight="1" x14ac:dyDescent="0.35">
      <c r="B221" s="2">
        <v>44708</v>
      </c>
      <c r="C221" s="1" t="s">
        <v>471</v>
      </c>
      <c r="D221" s="1" t="s">
        <v>472</v>
      </c>
      <c r="E221" s="1" t="s">
        <v>473</v>
      </c>
      <c r="F221" s="1" t="s">
        <v>21</v>
      </c>
      <c r="G221" s="1" t="s">
        <v>474</v>
      </c>
      <c r="H221" s="1" t="s">
        <v>15</v>
      </c>
      <c r="I221" s="1">
        <v>51</v>
      </c>
      <c r="J221" s="1" t="s">
        <v>151</v>
      </c>
      <c r="K221" s="1" t="s">
        <v>32</v>
      </c>
    </row>
    <row r="222" spans="2:11" ht="14.25" customHeight="1" x14ac:dyDescent="0.35">
      <c r="B222" s="2">
        <v>44708</v>
      </c>
      <c r="C222" s="1" t="s">
        <v>475</v>
      </c>
      <c r="D222" s="1" t="s">
        <v>476</v>
      </c>
      <c r="E222" s="1" t="s">
        <v>832</v>
      </c>
      <c r="F222" s="1" t="s">
        <v>13</v>
      </c>
      <c r="G222" s="1" t="s">
        <v>477</v>
      </c>
      <c r="H222" s="1" t="s">
        <v>15</v>
      </c>
      <c r="I222" s="1">
        <v>64</v>
      </c>
      <c r="J222" s="1" t="s">
        <v>57</v>
      </c>
      <c r="K222" s="1" t="s">
        <v>32</v>
      </c>
    </row>
    <row r="223" spans="2:11" ht="14.25" customHeight="1" x14ac:dyDescent="0.35">
      <c r="B223" s="2">
        <v>44709</v>
      </c>
      <c r="C223" s="1" t="s">
        <v>478</v>
      </c>
      <c r="D223" s="1" t="s">
        <v>27</v>
      </c>
      <c r="E223" s="1" t="s">
        <v>28</v>
      </c>
      <c r="F223" s="1" t="s">
        <v>21</v>
      </c>
      <c r="G223" s="1" t="s">
        <v>29</v>
      </c>
      <c r="H223" s="1" t="s">
        <v>30</v>
      </c>
      <c r="I223" s="1">
        <v>59</v>
      </c>
      <c r="J223" s="1" t="s">
        <v>31</v>
      </c>
      <c r="K223" s="1" t="s">
        <v>25</v>
      </c>
    </row>
    <row r="224" spans="2:11" ht="14.25" customHeight="1" x14ac:dyDescent="0.35">
      <c r="B224" s="2">
        <v>44709</v>
      </c>
      <c r="C224" s="1" t="s">
        <v>479</v>
      </c>
      <c r="D224" s="1" t="s">
        <v>107</v>
      </c>
      <c r="E224" s="1" t="s">
        <v>807</v>
      </c>
      <c r="F224" s="1" t="s">
        <v>21</v>
      </c>
      <c r="G224" s="1" t="s">
        <v>108</v>
      </c>
      <c r="H224" s="1" t="s">
        <v>15</v>
      </c>
      <c r="I224" s="1">
        <v>73</v>
      </c>
      <c r="J224" s="1" t="s">
        <v>66</v>
      </c>
      <c r="K224" s="1" t="s">
        <v>61</v>
      </c>
    </row>
    <row r="225" spans="2:11" ht="14.25" customHeight="1" x14ac:dyDescent="0.35">
      <c r="B225" s="2">
        <v>44710</v>
      </c>
      <c r="C225" s="1" t="s">
        <v>480</v>
      </c>
      <c r="D225" s="1" t="s">
        <v>92</v>
      </c>
      <c r="E225" s="1" t="s">
        <v>804</v>
      </c>
      <c r="F225" s="1" t="s">
        <v>21</v>
      </c>
      <c r="G225" s="1" t="s">
        <v>93</v>
      </c>
      <c r="H225" s="1" t="s">
        <v>23</v>
      </c>
      <c r="I225" s="1">
        <v>31</v>
      </c>
      <c r="J225" s="1" t="s">
        <v>24</v>
      </c>
      <c r="K225" s="1" t="s">
        <v>47</v>
      </c>
    </row>
    <row r="226" spans="2:11" ht="14.25" customHeight="1" x14ac:dyDescent="0.35">
      <c r="B226" s="2">
        <v>44711</v>
      </c>
      <c r="C226" s="1" t="s">
        <v>481</v>
      </c>
      <c r="D226" s="1" t="s">
        <v>482</v>
      </c>
      <c r="E226" s="1" t="s">
        <v>483</v>
      </c>
      <c r="F226" s="1" t="s">
        <v>21</v>
      </c>
      <c r="G226" s="1" t="s">
        <v>484</v>
      </c>
      <c r="H226" s="1" t="s">
        <v>15</v>
      </c>
      <c r="I226" s="1">
        <v>24</v>
      </c>
      <c r="J226" s="1" t="s">
        <v>24</v>
      </c>
      <c r="K226" s="1" t="s">
        <v>32</v>
      </c>
    </row>
    <row r="227" spans="2:11" ht="14.25" customHeight="1" x14ac:dyDescent="0.35">
      <c r="B227" s="2">
        <v>44711</v>
      </c>
      <c r="C227" s="1" t="s">
        <v>485</v>
      </c>
      <c r="D227" s="1" t="s">
        <v>472</v>
      </c>
      <c r="E227" s="1" t="s">
        <v>473</v>
      </c>
      <c r="F227" s="1" t="s">
        <v>21</v>
      </c>
      <c r="G227" s="1" t="s">
        <v>474</v>
      </c>
      <c r="H227" s="1" t="s">
        <v>15</v>
      </c>
      <c r="I227" s="1">
        <v>51</v>
      </c>
      <c r="J227" s="1" t="s">
        <v>42</v>
      </c>
      <c r="K227" s="1" t="s">
        <v>61</v>
      </c>
    </row>
    <row r="228" spans="2:11" ht="14.25" customHeight="1" x14ac:dyDescent="0.35">
      <c r="B228" s="2">
        <v>44711</v>
      </c>
      <c r="C228" s="1" t="s">
        <v>486</v>
      </c>
      <c r="D228" s="1" t="s">
        <v>63</v>
      </c>
      <c r="E228" s="1" t="s">
        <v>64</v>
      </c>
      <c r="F228" s="1" t="s">
        <v>13</v>
      </c>
      <c r="G228" s="1" t="s">
        <v>65</v>
      </c>
      <c r="H228" s="1" t="s">
        <v>15</v>
      </c>
      <c r="I228" s="1">
        <v>60</v>
      </c>
      <c r="J228" s="1" t="s">
        <v>42</v>
      </c>
      <c r="K228" s="1" t="s">
        <v>61</v>
      </c>
    </row>
    <row r="229" spans="2:11" ht="14.25" customHeight="1" x14ac:dyDescent="0.35">
      <c r="B229" s="2">
        <v>44712</v>
      </c>
      <c r="C229" s="1" t="s">
        <v>487</v>
      </c>
      <c r="D229" s="1" t="s">
        <v>488</v>
      </c>
      <c r="E229" s="1" t="s">
        <v>833</v>
      </c>
      <c r="F229" s="1" t="s">
        <v>13</v>
      </c>
      <c r="G229" s="1" t="s">
        <v>489</v>
      </c>
      <c r="H229" s="1" t="s">
        <v>15</v>
      </c>
      <c r="I229" s="1">
        <v>59</v>
      </c>
      <c r="J229" s="1" t="s">
        <v>66</v>
      </c>
      <c r="K229" s="1" t="s">
        <v>61</v>
      </c>
    </row>
    <row r="230" spans="2:11" ht="14.25" customHeight="1" x14ac:dyDescent="0.35">
      <c r="B230" s="2">
        <v>44712</v>
      </c>
      <c r="C230" s="1" t="s">
        <v>490</v>
      </c>
      <c r="D230" s="1" t="s">
        <v>71</v>
      </c>
      <c r="E230" s="1" t="s">
        <v>802</v>
      </c>
      <c r="F230" s="1" t="s">
        <v>21</v>
      </c>
      <c r="G230" s="1" t="s">
        <v>72</v>
      </c>
      <c r="H230" s="1" t="s">
        <v>23</v>
      </c>
      <c r="I230" s="1">
        <v>54</v>
      </c>
      <c r="J230" s="1" t="s">
        <v>66</v>
      </c>
      <c r="K230" s="1" t="s">
        <v>25</v>
      </c>
    </row>
    <row r="231" spans="2:11" ht="14.25" customHeight="1" x14ac:dyDescent="0.35">
      <c r="B231" s="2">
        <v>44712</v>
      </c>
      <c r="C231" s="1" t="s">
        <v>491</v>
      </c>
      <c r="D231" s="1" t="s">
        <v>178</v>
      </c>
      <c r="E231" s="1" t="s">
        <v>179</v>
      </c>
      <c r="F231" s="1" t="s">
        <v>13</v>
      </c>
      <c r="G231" s="1" t="s">
        <v>180</v>
      </c>
      <c r="H231" s="1" t="s">
        <v>30</v>
      </c>
      <c r="I231" s="1">
        <v>63</v>
      </c>
      <c r="J231" s="1" t="s">
        <v>151</v>
      </c>
      <c r="K231" s="1" t="s">
        <v>47</v>
      </c>
    </row>
    <row r="232" spans="2:11" ht="14.25" customHeight="1" x14ac:dyDescent="0.35">
      <c r="B232" s="2">
        <v>44713</v>
      </c>
      <c r="C232" s="1" t="s">
        <v>492</v>
      </c>
      <c r="D232" s="1" t="s">
        <v>398</v>
      </c>
      <c r="E232" s="1" t="s">
        <v>827</v>
      </c>
      <c r="F232" s="1" t="s">
        <v>21</v>
      </c>
      <c r="G232" s="1" t="s">
        <v>399</v>
      </c>
      <c r="H232" s="1" t="s">
        <v>15</v>
      </c>
      <c r="I232" s="1">
        <v>32</v>
      </c>
      <c r="J232" s="1" t="s">
        <v>24</v>
      </c>
      <c r="K232" s="1" t="s">
        <v>32</v>
      </c>
    </row>
    <row r="233" spans="2:11" ht="14.25" customHeight="1" x14ac:dyDescent="0.35">
      <c r="B233" s="2">
        <v>44713</v>
      </c>
      <c r="C233" s="1" t="s">
        <v>493</v>
      </c>
      <c r="D233" s="1" t="s">
        <v>265</v>
      </c>
      <c r="E233" s="1" t="s">
        <v>266</v>
      </c>
      <c r="F233" s="1" t="s">
        <v>13</v>
      </c>
      <c r="G233" s="1" t="s">
        <v>267</v>
      </c>
      <c r="H233" s="1" t="s">
        <v>15</v>
      </c>
      <c r="I233" s="1">
        <v>72</v>
      </c>
      <c r="J233" s="1" t="s">
        <v>151</v>
      </c>
      <c r="K233" s="1" t="s">
        <v>25</v>
      </c>
    </row>
    <row r="234" spans="2:11" ht="14.25" customHeight="1" x14ac:dyDescent="0.35">
      <c r="B234" s="2">
        <v>44713</v>
      </c>
      <c r="C234" s="1" t="s">
        <v>494</v>
      </c>
      <c r="D234" s="1" t="s">
        <v>129</v>
      </c>
      <c r="E234" s="1" t="s">
        <v>130</v>
      </c>
      <c r="F234" s="1" t="s">
        <v>21</v>
      </c>
      <c r="G234" s="1" t="s">
        <v>131</v>
      </c>
      <c r="H234" s="1" t="s">
        <v>23</v>
      </c>
      <c r="I234" s="1">
        <v>66</v>
      </c>
      <c r="J234" s="1" t="s">
        <v>16</v>
      </c>
      <c r="K234" s="1" t="s">
        <v>25</v>
      </c>
    </row>
    <row r="235" spans="2:11" ht="14.25" customHeight="1" x14ac:dyDescent="0.35">
      <c r="B235" s="2">
        <v>44714</v>
      </c>
      <c r="C235" s="1" t="s">
        <v>495</v>
      </c>
      <c r="D235" s="1" t="s">
        <v>54</v>
      </c>
      <c r="E235" s="1" t="s">
        <v>55</v>
      </c>
      <c r="F235" s="1" t="s">
        <v>21</v>
      </c>
      <c r="G235" s="1" t="s">
        <v>56</v>
      </c>
      <c r="H235" s="1" t="s">
        <v>23</v>
      </c>
      <c r="I235" s="1">
        <v>28</v>
      </c>
      <c r="J235" s="1" t="s">
        <v>52</v>
      </c>
      <c r="K235" s="1" t="s">
        <v>47</v>
      </c>
    </row>
    <row r="236" spans="2:11" ht="14.25" customHeight="1" x14ac:dyDescent="0.35">
      <c r="B236" s="2">
        <v>44714</v>
      </c>
      <c r="C236" s="1" t="s">
        <v>496</v>
      </c>
      <c r="D236" s="1" t="s">
        <v>188</v>
      </c>
      <c r="E236" s="1" t="s">
        <v>189</v>
      </c>
      <c r="F236" s="1" t="s">
        <v>13</v>
      </c>
      <c r="G236" s="1" t="s">
        <v>190</v>
      </c>
      <c r="H236" s="1" t="s">
        <v>15</v>
      </c>
      <c r="I236" s="1">
        <v>60</v>
      </c>
      <c r="J236" s="1" t="s">
        <v>16</v>
      </c>
      <c r="K236" s="1" t="s">
        <v>47</v>
      </c>
    </row>
    <row r="237" spans="2:11" ht="14.25" customHeight="1" x14ac:dyDescent="0.35">
      <c r="B237" s="2">
        <v>44714</v>
      </c>
      <c r="C237" s="1" t="s">
        <v>497</v>
      </c>
      <c r="D237" s="1" t="s">
        <v>446</v>
      </c>
      <c r="E237" s="1" t="s">
        <v>447</v>
      </c>
      <c r="F237" s="1" t="s">
        <v>21</v>
      </c>
      <c r="G237" s="1" t="s">
        <v>448</v>
      </c>
      <c r="H237" s="1" t="s">
        <v>23</v>
      </c>
      <c r="I237" s="1">
        <v>75</v>
      </c>
      <c r="J237" s="1" t="s">
        <v>66</v>
      </c>
      <c r="K237" s="1" t="s">
        <v>17</v>
      </c>
    </row>
    <row r="238" spans="2:11" ht="14.25" customHeight="1" x14ac:dyDescent="0.35">
      <c r="B238" s="2">
        <v>44715</v>
      </c>
      <c r="C238" s="1" t="s">
        <v>498</v>
      </c>
      <c r="D238" s="1" t="s">
        <v>75</v>
      </c>
      <c r="E238" s="1" t="s">
        <v>76</v>
      </c>
      <c r="F238" s="1" t="s">
        <v>21</v>
      </c>
      <c r="G238" s="1" t="s">
        <v>77</v>
      </c>
      <c r="H238" s="1" t="s">
        <v>30</v>
      </c>
      <c r="I238" s="1">
        <v>19</v>
      </c>
      <c r="J238" s="1" t="s">
        <v>52</v>
      </c>
      <c r="K238" s="1" t="s">
        <v>25</v>
      </c>
    </row>
    <row r="239" spans="2:11" ht="14.25" customHeight="1" x14ac:dyDescent="0.35">
      <c r="B239" s="2">
        <v>44717</v>
      </c>
      <c r="C239" s="1" t="s">
        <v>499</v>
      </c>
      <c r="D239" s="1" t="s">
        <v>275</v>
      </c>
      <c r="E239" s="1" t="s">
        <v>276</v>
      </c>
      <c r="F239" s="1" t="s">
        <v>13</v>
      </c>
      <c r="G239" s="1" t="s">
        <v>277</v>
      </c>
      <c r="H239" s="1" t="s">
        <v>30</v>
      </c>
      <c r="I239" s="1">
        <v>64</v>
      </c>
      <c r="J239" s="1" t="s">
        <v>66</v>
      </c>
      <c r="K239" s="1" t="s">
        <v>61</v>
      </c>
    </row>
    <row r="240" spans="2:11" ht="14.25" customHeight="1" x14ac:dyDescent="0.35">
      <c r="B240" s="2">
        <v>44718</v>
      </c>
      <c r="C240" s="1" t="s">
        <v>500</v>
      </c>
      <c r="D240" s="1" t="s">
        <v>501</v>
      </c>
      <c r="E240" s="1" t="s">
        <v>834</v>
      </c>
      <c r="F240" s="1" t="s">
        <v>21</v>
      </c>
      <c r="G240" s="1" t="s">
        <v>502</v>
      </c>
      <c r="H240" s="1" t="s">
        <v>15</v>
      </c>
      <c r="I240" s="1">
        <v>21</v>
      </c>
      <c r="J240" s="1" t="s">
        <v>16</v>
      </c>
      <c r="K240" s="1" t="s">
        <v>32</v>
      </c>
    </row>
    <row r="241" spans="2:11" ht="14.25" customHeight="1" x14ac:dyDescent="0.35">
      <c r="B241" s="2">
        <v>44719</v>
      </c>
      <c r="C241" s="1" t="s">
        <v>503</v>
      </c>
      <c r="D241" s="1" t="s">
        <v>75</v>
      </c>
      <c r="E241" s="1" t="s">
        <v>76</v>
      </c>
      <c r="F241" s="1" t="s">
        <v>21</v>
      </c>
      <c r="G241" s="1" t="s">
        <v>77</v>
      </c>
      <c r="H241" s="1" t="s">
        <v>30</v>
      </c>
      <c r="I241" s="1">
        <v>19</v>
      </c>
      <c r="J241" s="1" t="s">
        <v>42</v>
      </c>
      <c r="K241" s="1" t="s">
        <v>61</v>
      </c>
    </row>
    <row r="242" spans="2:11" ht="14.25" customHeight="1" x14ac:dyDescent="0.35">
      <c r="B242" s="2">
        <v>44719</v>
      </c>
      <c r="C242" s="1" t="s">
        <v>504</v>
      </c>
      <c r="D242" s="1" t="s">
        <v>59</v>
      </c>
      <c r="E242" s="1" t="s">
        <v>800</v>
      </c>
      <c r="F242" s="1" t="s">
        <v>13</v>
      </c>
      <c r="G242" s="1" t="s">
        <v>60</v>
      </c>
      <c r="H242" s="1" t="s">
        <v>15</v>
      </c>
      <c r="I242" s="1">
        <v>48</v>
      </c>
      <c r="J242" s="1" t="s">
        <v>151</v>
      </c>
      <c r="K242" s="1" t="s">
        <v>47</v>
      </c>
    </row>
    <row r="243" spans="2:11" ht="14.25" customHeight="1" x14ac:dyDescent="0.35">
      <c r="B243" s="2">
        <v>44720</v>
      </c>
      <c r="C243" s="1" t="s">
        <v>505</v>
      </c>
      <c r="D243" s="1" t="s">
        <v>369</v>
      </c>
      <c r="E243" s="1" t="s">
        <v>826</v>
      </c>
      <c r="F243" s="1" t="s">
        <v>13</v>
      </c>
      <c r="G243" s="1" t="s">
        <v>370</v>
      </c>
      <c r="H243" s="1" t="s">
        <v>30</v>
      </c>
      <c r="I243" s="1">
        <v>32</v>
      </c>
      <c r="J243" s="1" t="s">
        <v>42</v>
      </c>
      <c r="K243" s="1" t="s">
        <v>61</v>
      </c>
    </row>
    <row r="244" spans="2:11" ht="14.25" customHeight="1" x14ac:dyDescent="0.35">
      <c r="B244" s="2">
        <v>44721</v>
      </c>
      <c r="C244" s="1" t="s">
        <v>506</v>
      </c>
      <c r="D244" s="1" t="s">
        <v>319</v>
      </c>
      <c r="E244" s="1" t="s">
        <v>823</v>
      </c>
      <c r="F244" s="1" t="s">
        <v>21</v>
      </c>
      <c r="G244" s="1" t="s">
        <v>320</v>
      </c>
      <c r="H244" s="1" t="s">
        <v>30</v>
      </c>
      <c r="I244" s="1">
        <v>45</v>
      </c>
      <c r="J244" s="1" t="s">
        <v>151</v>
      </c>
      <c r="K244" s="1" t="s">
        <v>47</v>
      </c>
    </row>
    <row r="245" spans="2:11" ht="14.25" customHeight="1" x14ac:dyDescent="0.35">
      <c r="B245" s="2">
        <v>44722</v>
      </c>
      <c r="C245" s="1" t="s">
        <v>507</v>
      </c>
      <c r="D245" s="1" t="s">
        <v>173</v>
      </c>
      <c r="E245" s="1" t="s">
        <v>174</v>
      </c>
      <c r="F245" s="1" t="s">
        <v>21</v>
      </c>
      <c r="G245" s="1" t="s">
        <v>175</v>
      </c>
      <c r="H245" s="1" t="s">
        <v>15</v>
      </c>
      <c r="I245" s="1">
        <v>66</v>
      </c>
      <c r="J245" s="1" t="s">
        <v>52</v>
      </c>
      <c r="K245" s="1" t="s">
        <v>61</v>
      </c>
    </row>
    <row r="246" spans="2:11" ht="14.25" customHeight="1" x14ac:dyDescent="0.35">
      <c r="B246" s="2">
        <v>44722</v>
      </c>
      <c r="C246" s="1" t="s">
        <v>508</v>
      </c>
      <c r="D246" s="1" t="s">
        <v>169</v>
      </c>
      <c r="E246" s="1" t="s">
        <v>170</v>
      </c>
      <c r="F246" s="1" t="s">
        <v>13</v>
      </c>
      <c r="G246" s="1" t="s">
        <v>171</v>
      </c>
      <c r="H246" s="1" t="s">
        <v>30</v>
      </c>
      <c r="I246" s="1">
        <v>29</v>
      </c>
      <c r="J246" s="1" t="s">
        <v>31</v>
      </c>
      <c r="K246" s="1" t="s">
        <v>32</v>
      </c>
    </row>
    <row r="247" spans="2:11" ht="14.25" customHeight="1" x14ac:dyDescent="0.35">
      <c r="B247" s="2">
        <v>44722</v>
      </c>
      <c r="C247" s="1" t="s">
        <v>509</v>
      </c>
      <c r="D247" s="1" t="s">
        <v>272</v>
      </c>
      <c r="E247" s="1" t="s">
        <v>820</v>
      </c>
      <c r="F247" s="1" t="s">
        <v>13</v>
      </c>
      <c r="G247" s="1" t="s">
        <v>273</v>
      </c>
      <c r="H247" s="1" t="s">
        <v>15</v>
      </c>
      <c r="I247" s="1">
        <v>44</v>
      </c>
      <c r="J247" s="1" t="s">
        <v>167</v>
      </c>
      <c r="K247" s="1" t="s">
        <v>32</v>
      </c>
    </row>
    <row r="248" spans="2:11" ht="14.25" customHeight="1" x14ac:dyDescent="0.35">
      <c r="B248" s="2">
        <v>44724</v>
      </c>
      <c r="C248" s="1" t="s">
        <v>510</v>
      </c>
      <c r="D248" s="1" t="s">
        <v>19</v>
      </c>
      <c r="E248" s="1" t="s">
        <v>20</v>
      </c>
      <c r="F248" s="1" t="s">
        <v>21</v>
      </c>
      <c r="G248" s="1" t="s">
        <v>22</v>
      </c>
      <c r="H248" s="1" t="s">
        <v>23</v>
      </c>
      <c r="I248" s="1">
        <v>72</v>
      </c>
      <c r="J248" s="1" t="s">
        <v>66</v>
      </c>
      <c r="K248" s="1" t="s">
        <v>25</v>
      </c>
    </row>
    <row r="249" spans="2:11" ht="14.25" customHeight="1" x14ac:dyDescent="0.35">
      <c r="B249" s="2">
        <v>44724</v>
      </c>
      <c r="C249" s="1" t="s">
        <v>511</v>
      </c>
      <c r="D249" s="1" t="s">
        <v>250</v>
      </c>
      <c r="E249" s="1" t="s">
        <v>251</v>
      </c>
      <c r="F249" s="1" t="s">
        <v>21</v>
      </c>
      <c r="G249" s="1" t="s">
        <v>252</v>
      </c>
      <c r="H249" s="1" t="s">
        <v>15</v>
      </c>
      <c r="I249" s="1">
        <v>35</v>
      </c>
      <c r="J249" s="1" t="s">
        <v>57</v>
      </c>
      <c r="K249" s="1" t="s">
        <v>61</v>
      </c>
    </row>
    <row r="250" spans="2:11" ht="14.25" customHeight="1" x14ac:dyDescent="0.35">
      <c r="B250" s="2">
        <v>44724</v>
      </c>
      <c r="C250" s="1" t="s">
        <v>512</v>
      </c>
      <c r="D250" s="1" t="s">
        <v>87</v>
      </c>
      <c r="E250" s="1" t="s">
        <v>88</v>
      </c>
      <c r="F250" s="1" t="s">
        <v>13</v>
      </c>
      <c r="G250" s="1" t="s">
        <v>89</v>
      </c>
      <c r="H250" s="1" t="s">
        <v>23</v>
      </c>
      <c r="I250" s="1">
        <v>36</v>
      </c>
      <c r="J250" s="1" t="s">
        <v>24</v>
      </c>
      <c r="K250" s="1" t="s">
        <v>17</v>
      </c>
    </row>
    <row r="251" spans="2:11" ht="14.25" customHeight="1" x14ac:dyDescent="0.35">
      <c r="B251" s="2">
        <v>44725</v>
      </c>
      <c r="C251" s="1" t="s">
        <v>513</v>
      </c>
      <c r="D251" s="1" t="s">
        <v>265</v>
      </c>
      <c r="E251" s="1" t="s">
        <v>266</v>
      </c>
      <c r="F251" s="1" t="s">
        <v>13</v>
      </c>
      <c r="G251" s="1" t="s">
        <v>267</v>
      </c>
      <c r="H251" s="1" t="s">
        <v>15</v>
      </c>
      <c r="I251" s="1">
        <v>72</v>
      </c>
      <c r="J251" s="1" t="s">
        <v>16</v>
      </c>
      <c r="K251" s="1" t="s">
        <v>47</v>
      </c>
    </row>
    <row r="252" spans="2:11" ht="14.25" customHeight="1" x14ac:dyDescent="0.35">
      <c r="B252" s="2">
        <v>44725</v>
      </c>
      <c r="C252" s="1" t="s">
        <v>514</v>
      </c>
      <c r="D252" s="1" t="s">
        <v>34</v>
      </c>
      <c r="E252" s="1" t="s">
        <v>35</v>
      </c>
      <c r="F252" s="1" t="s">
        <v>13</v>
      </c>
      <c r="G252" s="1" t="s">
        <v>36</v>
      </c>
      <c r="H252" s="1" t="s">
        <v>23</v>
      </c>
      <c r="I252" s="1">
        <v>61</v>
      </c>
      <c r="J252" s="1" t="s">
        <v>42</v>
      </c>
      <c r="K252" s="1" t="s">
        <v>25</v>
      </c>
    </row>
    <row r="253" spans="2:11" ht="14.25" customHeight="1" x14ac:dyDescent="0.35">
      <c r="B253" s="2">
        <v>44726</v>
      </c>
      <c r="C253" s="1" t="s">
        <v>515</v>
      </c>
      <c r="D253" s="1" t="s">
        <v>244</v>
      </c>
      <c r="E253" s="1" t="s">
        <v>245</v>
      </c>
      <c r="F253" s="1" t="s">
        <v>21</v>
      </c>
      <c r="G253" s="1" t="s">
        <v>246</v>
      </c>
      <c r="H253" s="1" t="s">
        <v>15</v>
      </c>
      <c r="I253" s="1">
        <v>29</v>
      </c>
      <c r="J253" s="1" t="s">
        <v>57</v>
      </c>
      <c r="K253" s="1" t="s">
        <v>17</v>
      </c>
    </row>
    <row r="254" spans="2:11" ht="14.25" customHeight="1" x14ac:dyDescent="0.35">
      <c r="B254" s="2">
        <v>44727</v>
      </c>
      <c r="C254" s="1" t="s">
        <v>516</v>
      </c>
      <c r="D254" s="1" t="s">
        <v>115</v>
      </c>
      <c r="E254" s="1" t="s">
        <v>808</v>
      </c>
      <c r="F254" s="1" t="s">
        <v>13</v>
      </c>
      <c r="G254" s="1" t="s">
        <v>116</v>
      </c>
      <c r="H254" s="1" t="s">
        <v>15</v>
      </c>
      <c r="I254" s="1">
        <v>67</v>
      </c>
      <c r="J254" s="1" t="s">
        <v>37</v>
      </c>
      <c r="K254" s="1" t="s">
        <v>47</v>
      </c>
    </row>
    <row r="255" spans="2:11" ht="14.25" customHeight="1" x14ac:dyDescent="0.35">
      <c r="B255" s="2">
        <v>44728</v>
      </c>
      <c r="C255" s="1" t="s">
        <v>517</v>
      </c>
      <c r="D255" s="1" t="s">
        <v>518</v>
      </c>
      <c r="E255" s="1" t="s">
        <v>519</v>
      </c>
      <c r="F255" s="1" t="s">
        <v>13</v>
      </c>
      <c r="G255" s="1" t="s">
        <v>520</v>
      </c>
      <c r="H255" s="1" t="s">
        <v>30</v>
      </c>
      <c r="I255" s="1">
        <v>74</v>
      </c>
      <c r="J255" s="1" t="s">
        <v>31</v>
      </c>
      <c r="K255" s="1" t="s">
        <v>47</v>
      </c>
    </row>
    <row r="256" spans="2:11" ht="14.25" customHeight="1" x14ac:dyDescent="0.35">
      <c r="B256" s="2">
        <v>44730</v>
      </c>
      <c r="C256" s="1" t="s">
        <v>521</v>
      </c>
      <c r="D256" s="1" t="s">
        <v>446</v>
      </c>
      <c r="E256" s="1" t="s">
        <v>447</v>
      </c>
      <c r="F256" s="1" t="s">
        <v>21</v>
      </c>
      <c r="G256" s="1" t="s">
        <v>448</v>
      </c>
      <c r="H256" s="1" t="s">
        <v>23</v>
      </c>
      <c r="I256" s="1">
        <v>75</v>
      </c>
      <c r="J256" s="1" t="s">
        <v>57</v>
      </c>
      <c r="K256" s="1" t="s">
        <v>25</v>
      </c>
    </row>
    <row r="257" spans="2:11" ht="14.25" customHeight="1" x14ac:dyDescent="0.35">
      <c r="B257" s="2">
        <v>44731</v>
      </c>
      <c r="C257" s="1" t="s">
        <v>522</v>
      </c>
      <c r="D257" s="1" t="s">
        <v>427</v>
      </c>
      <c r="E257" s="1" t="s">
        <v>828</v>
      </c>
      <c r="F257" s="1" t="s">
        <v>21</v>
      </c>
      <c r="G257" s="1" t="s">
        <v>428</v>
      </c>
      <c r="H257" s="1" t="s">
        <v>15</v>
      </c>
      <c r="I257" s="1">
        <v>48</v>
      </c>
      <c r="J257" s="1" t="s">
        <v>37</v>
      </c>
      <c r="K257" s="1" t="s">
        <v>17</v>
      </c>
    </row>
    <row r="258" spans="2:11" ht="14.25" customHeight="1" x14ac:dyDescent="0.35">
      <c r="B258" s="2">
        <v>44731</v>
      </c>
      <c r="C258" s="1" t="s">
        <v>523</v>
      </c>
      <c r="D258" s="1" t="s">
        <v>501</v>
      </c>
      <c r="E258" s="1" t="s">
        <v>834</v>
      </c>
      <c r="F258" s="1" t="s">
        <v>21</v>
      </c>
      <c r="G258" s="1" t="s">
        <v>502</v>
      </c>
      <c r="H258" s="1" t="s">
        <v>15</v>
      </c>
      <c r="I258" s="1">
        <v>21</v>
      </c>
      <c r="J258" s="1" t="s">
        <v>151</v>
      </c>
      <c r="K258" s="1" t="s">
        <v>47</v>
      </c>
    </row>
    <row r="259" spans="2:11" ht="14.25" customHeight="1" x14ac:dyDescent="0.35">
      <c r="B259" s="2">
        <v>44735</v>
      </c>
      <c r="C259" s="1" t="s">
        <v>524</v>
      </c>
      <c r="D259" s="1" t="s">
        <v>118</v>
      </c>
      <c r="E259" s="1" t="s">
        <v>809</v>
      </c>
      <c r="F259" s="1" t="s">
        <v>21</v>
      </c>
      <c r="G259" s="1" t="s">
        <v>119</v>
      </c>
      <c r="H259" s="1" t="s">
        <v>30</v>
      </c>
      <c r="I259" s="1">
        <v>19</v>
      </c>
      <c r="J259" s="1" t="s">
        <v>151</v>
      </c>
      <c r="K259" s="1" t="s">
        <v>25</v>
      </c>
    </row>
    <row r="260" spans="2:11" ht="14.25" customHeight="1" x14ac:dyDescent="0.35">
      <c r="B260" s="2">
        <v>44735</v>
      </c>
      <c r="C260" s="1" t="s">
        <v>525</v>
      </c>
      <c r="D260" s="1" t="s">
        <v>68</v>
      </c>
      <c r="E260" s="1" t="s">
        <v>801</v>
      </c>
      <c r="F260" s="1" t="s">
        <v>13</v>
      </c>
      <c r="G260" s="1" t="s">
        <v>69</v>
      </c>
      <c r="H260" s="1" t="s">
        <v>30</v>
      </c>
      <c r="I260" s="1">
        <v>71</v>
      </c>
      <c r="J260" s="1" t="s">
        <v>66</v>
      </c>
      <c r="K260" s="1" t="s">
        <v>25</v>
      </c>
    </row>
    <row r="261" spans="2:11" ht="14.25" customHeight="1" x14ac:dyDescent="0.35">
      <c r="B261" s="2">
        <v>44735</v>
      </c>
      <c r="C261" s="1" t="s">
        <v>526</v>
      </c>
      <c r="D261" s="1" t="s">
        <v>27</v>
      </c>
      <c r="E261" s="1" t="s">
        <v>28</v>
      </c>
      <c r="F261" s="1" t="s">
        <v>21</v>
      </c>
      <c r="G261" s="1" t="s">
        <v>29</v>
      </c>
      <c r="H261" s="1" t="s">
        <v>30</v>
      </c>
      <c r="I261" s="1">
        <v>59</v>
      </c>
      <c r="J261" s="1" t="s">
        <v>52</v>
      </c>
      <c r="K261" s="1" t="s">
        <v>17</v>
      </c>
    </row>
    <row r="262" spans="2:11" ht="14.25" customHeight="1" x14ac:dyDescent="0.35">
      <c r="B262" s="2">
        <v>44736</v>
      </c>
      <c r="C262" s="1" t="s">
        <v>527</v>
      </c>
      <c r="D262" s="1" t="s">
        <v>528</v>
      </c>
      <c r="E262" s="1" t="s">
        <v>529</v>
      </c>
      <c r="F262" s="1" t="s">
        <v>21</v>
      </c>
      <c r="G262" s="1" t="s">
        <v>530</v>
      </c>
      <c r="H262" s="1" t="s">
        <v>15</v>
      </c>
      <c r="I262" s="1">
        <v>50</v>
      </c>
      <c r="J262" s="1" t="s">
        <v>31</v>
      </c>
      <c r="K262" s="1" t="s">
        <v>25</v>
      </c>
    </row>
    <row r="263" spans="2:11" ht="14.25" customHeight="1" x14ac:dyDescent="0.35">
      <c r="B263" s="2">
        <v>44736</v>
      </c>
      <c r="C263" s="1" t="s">
        <v>531</v>
      </c>
      <c r="D263" s="1" t="s">
        <v>265</v>
      </c>
      <c r="E263" s="1" t="s">
        <v>266</v>
      </c>
      <c r="F263" s="1" t="s">
        <v>13</v>
      </c>
      <c r="G263" s="1" t="s">
        <v>267</v>
      </c>
      <c r="H263" s="1" t="s">
        <v>15</v>
      </c>
      <c r="I263" s="1">
        <v>72</v>
      </c>
      <c r="J263" s="1" t="s">
        <v>66</v>
      </c>
      <c r="K263" s="1" t="s">
        <v>61</v>
      </c>
    </row>
    <row r="264" spans="2:11" ht="14.25" customHeight="1" x14ac:dyDescent="0.35">
      <c r="B264" s="2">
        <v>44737</v>
      </c>
      <c r="C264" s="1" t="s">
        <v>532</v>
      </c>
      <c r="D264" s="1" t="s">
        <v>129</v>
      </c>
      <c r="E264" s="1" t="s">
        <v>130</v>
      </c>
      <c r="F264" s="1" t="s">
        <v>21</v>
      </c>
      <c r="G264" s="1" t="s">
        <v>131</v>
      </c>
      <c r="H264" s="1" t="s">
        <v>23</v>
      </c>
      <c r="I264" s="1">
        <v>66</v>
      </c>
      <c r="J264" s="1" t="s">
        <v>151</v>
      </c>
      <c r="K264" s="1" t="s">
        <v>25</v>
      </c>
    </row>
    <row r="265" spans="2:11" ht="14.25" customHeight="1" x14ac:dyDescent="0.35">
      <c r="B265" s="2">
        <v>44737</v>
      </c>
      <c r="C265" s="1" t="s">
        <v>533</v>
      </c>
      <c r="D265" s="1" t="s">
        <v>501</v>
      </c>
      <c r="E265" s="1" t="s">
        <v>834</v>
      </c>
      <c r="F265" s="1" t="s">
        <v>21</v>
      </c>
      <c r="G265" s="1" t="s">
        <v>502</v>
      </c>
      <c r="H265" s="1" t="s">
        <v>15</v>
      </c>
      <c r="I265" s="1">
        <v>21</v>
      </c>
      <c r="J265" s="1" t="s">
        <v>52</v>
      </c>
      <c r="K265" s="1" t="s">
        <v>47</v>
      </c>
    </row>
    <row r="266" spans="2:11" ht="14.25" customHeight="1" x14ac:dyDescent="0.35">
      <c r="B266" s="2">
        <v>44737</v>
      </c>
      <c r="C266" s="1" t="s">
        <v>534</v>
      </c>
      <c r="D266" s="1" t="s">
        <v>125</v>
      </c>
      <c r="E266" s="1" t="s">
        <v>126</v>
      </c>
      <c r="F266" s="1" t="s">
        <v>21</v>
      </c>
      <c r="G266" s="1" t="s">
        <v>127</v>
      </c>
      <c r="H266" s="1" t="s">
        <v>23</v>
      </c>
      <c r="I266" s="1">
        <v>76</v>
      </c>
      <c r="J266" s="1" t="s">
        <v>66</v>
      </c>
      <c r="K266" s="1" t="s">
        <v>25</v>
      </c>
    </row>
    <row r="267" spans="2:11" ht="14.25" customHeight="1" x14ac:dyDescent="0.35">
      <c r="B267" s="2">
        <v>44738</v>
      </c>
      <c r="C267" s="1" t="s">
        <v>535</v>
      </c>
      <c r="D267" s="1" t="s">
        <v>244</v>
      </c>
      <c r="E267" s="1" t="s">
        <v>245</v>
      </c>
      <c r="F267" s="1" t="s">
        <v>21</v>
      </c>
      <c r="G267" s="1" t="s">
        <v>246</v>
      </c>
      <c r="H267" s="1" t="s">
        <v>15</v>
      </c>
      <c r="I267" s="1">
        <v>29</v>
      </c>
      <c r="J267" s="1" t="s">
        <v>37</v>
      </c>
      <c r="K267" s="1" t="s">
        <v>47</v>
      </c>
    </row>
    <row r="268" spans="2:11" ht="14.25" customHeight="1" x14ac:dyDescent="0.35">
      <c r="B268" s="2">
        <v>44738</v>
      </c>
      <c r="C268" s="1" t="s">
        <v>536</v>
      </c>
      <c r="D268" s="1" t="s">
        <v>169</v>
      </c>
      <c r="E268" s="1" t="s">
        <v>170</v>
      </c>
      <c r="F268" s="1" t="s">
        <v>13</v>
      </c>
      <c r="G268" s="1" t="s">
        <v>171</v>
      </c>
      <c r="H268" s="1" t="s">
        <v>30</v>
      </c>
      <c r="I268" s="1">
        <v>29</v>
      </c>
      <c r="J268" s="1" t="s">
        <v>42</v>
      </c>
      <c r="K268" s="1" t="s">
        <v>25</v>
      </c>
    </row>
    <row r="269" spans="2:11" ht="14.25" customHeight="1" x14ac:dyDescent="0.35">
      <c r="B269" s="2">
        <v>44738</v>
      </c>
      <c r="C269" s="1" t="s">
        <v>537</v>
      </c>
      <c r="D269" s="1" t="s">
        <v>244</v>
      </c>
      <c r="E269" s="1" t="s">
        <v>245</v>
      </c>
      <c r="F269" s="1" t="s">
        <v>21</v>
      </c>
      <c r="G269" s="1" t="s">
        <v>246</v>
      </c>
      <c r="H269" s="1" t="s">
        <v>15</v>
      </c>
      <c r="I269" s="1">
        <v>29</v>
      </c>
      <c r="J269" s="1" t="s">
        <v>42</v>
      </c>
      <c r="K269" s="1" t="s">
        <v>17</v>
      </c>
    </row>
    <row r="270" spans="2:11" ht="14.25" customHeight="1" x14ac:dyDescent="0.35">
      <c r="B270" s="2">
        <v>44740</v>
      </c>
      <c r="C270" s="1" t="s">
        <v>538</v>
      </c>
      <c r="D270" s="1" t="s">
        <v>44</v>
      </c>
      <c r="E270" s="1" t="s">
        <v>45</v>
      </c>
      <c r="F270" s="1" t="s">
        <v>13</v>
      </c>
      <c r="G270" s="1" t="s">
        <v>46</v>
      </c>
      <c r="H270" s="1" t="s">
        <v>15</v>
      </c>
      <c r="I270" s="1">
        <v>22</v>
      </c>
      <c r="J270" s="1" t="s">
        <v>42</v>
      </c>
      <c r="K270" s="1" t="s">
        <v>25</v>
      </c>
    </row>
    <row r="271" spans="2:11" ht="14.25" customHeight="1" x14ac:dyDescent="0.35">
      <c r="B271" s="2">
        <v>44740</v>
      </c>
      <c r="C271" s="1" t="s">
        <v>539</v>
      </c>
      <c r="D271" s="1" t="s">
        <v>196</v>
      </c>
      <c r="E271" s="1" t="s">
        <v>197</v>
      </c>
      <c r="F271" s="1" t="s">
        <v>13</v>
      </c>
      <c r="G271" s="1" t="s">
        <v>198</v>
      </c>
      <c r="H271" s="1" t="s">
        <v>30</v>
      </c>
      <c r="I271" s="1">
        <v>39</v>
      </c>
      <c r="J271" s="1" t="s">
        <v>52</v>
      </c>
      <c r="K271" s="1" t="s">
        <v>32</v>
      </c>
    </row>
    <row r="272" spans="2:11" ht="14.25" customHeight="1" x14ac:dyDescent="0.35">
      <c r="B272" s="2">
        <v>44741</v>
      </c>
      <c r="C272" s="1" t="s">
        <v>540</v>
      </c>
      <c r="D272" s="1" t="s">
        <v>141</v>
      </c>
      <c r="E272" s="1" t="s">
        <v>142</v>
      </c>
      <c r="F272" s="1" t="s">
        <v>21</v>
      </c>
      <c r="G272" s="1" t="s">
        <v>143</v>
      </c>
      <c r="H272" s="1" t="s">
        <v>15</v>
      </c>
      <c r="I272" s="1">
        <v>34</v>
      </c>
      <c r="J272" s="1" t="s">
        <v>31</v>
      </c>
      <c r="K272" s="1" t="s">
        <v>61</v>
      </c>
    </row>
    <row r="273" spans="2:11" ht="14.25" customHeight="1" x14ac:dyDescent="0.35">
      <c r="B273" s="2">
        <v>44742</v>
      </c>
      <c r="C273" s="1" t="s">
        <v>541</v>
      </c>
      <c r="D273" s="1" t="s">
        <v>542</v>
      </c>
      <c r="E273" s="1" t="s">
        <v>835</v>
      </c>
      <c r="F273" s="1" t="s">
        <v>21</v>
      </c>
      <c r="G273" s="1" t="s">
        <v>543</v>
      </c>
      <c r="H273" s="1" t="s">
        <v>15</v>
      </c>
      <c r="I273" s="1">
        <v>22</v>
      </c>
      <c r="J273" s="1" t="s">
        <v>42</v>
      </c>
      <c r="K273" s="1" t="s">
        <v>25</v>
      </c>
    </row>
    <row r="274" spans="2:11" ht="14.25" customHeight="1" x14ac:dyDescent="0.35">
      <c r="B274" s="2">
        <v>44742</v>
      </c>
      <c r="C274" s="1" t="s">
        <v>544</v>
      </c>
      <c r="D274" s="1" t="s">
        <v>188</v>
      </c>
      <c r="E274" s="1" t="s">
        <v>189</v>
      </c>
      <c r="F274" s="1" t="s">
        <v>13</v>
      </c>
      <c r="G274" s="1" t="s">
        <v>190</v>
      </c>
      <c r="H274" s="1" t="s">
        <v>15</v>
      </c>
      <c r="I274" s="1">
        <v>60</v>
      </c>
      <c r="J274" s="1" t="s">
        <v>42</v>
      </c>
      <c r="K274" s="1" t="s">
        <v>47</v>
      </c>
    </row>
    <row r="275" spans="2:11" ht="14.25" customHeight="1" x14ac:dyDescent="0.35">
      <c r="B275" s="2">
        <v>44742</v>
      </c>
      <c r="C275" s="1" t="s">
        <v>545</v>
      </c>
      <c r="D275" s="1" t="s">
        <v>546</v>
      </c>
      <c r="E275" s="1" t="s">
        <v>547</v>
      </c>
      <c r="F275" s="1" t="s">
        <v>21</v>
      </c>
      <c r="G275" s="1" t="s">
        <v>548</v>
      </c>
      <c r="H275" s="1" t="s">
        <v>15</v>
      </c>
      <c r="I275" s="1">
        <v>36</v>
      </c>
      <c r="J275" s="1" t="s">
        <v>66</v>
      </c>
      <c r="K275" s="1" t="s">
        <v>25</v>
      </c>
    </row>
    <row r="276" spans="2:11" ht="14.25" customHeight="1" x14ac:dyDescent="0.35">
      <c r="B276" s="2">
        <v>44743</v>
      </c>
      <c r="C276" s="1" t="s">
        <v>549</v>
      </c>
      <c r="D276" s="1" t="s">
        <v>68</v>
      </c>
      <c r="E276" s="1" t="s">
        <v>801</v>
      </c>
      <c r="F276" s="1" t="s">
        <v>13</v>
      </c>
      <c r="G276" s="1" t="s">
        <v>69</v>
      </c>
      <c r="H276" s="1" t="s">
        <v>30</v>
      </c>
      <c r="I276" s="1">
        <v>71</v>
      </c>
      <c r="J276" s="1" t="s">
        <v>37</v>
      </c>
      <c r="K276" s="1" t="s">
        <v>47</v>
      </c>
    </row>
    <row r="277" spans="2:11" ht="14.25" customHeight="1" x14ac:dyDescent="0.35">
      <c r="B277" s="2">
        <v>44744</v>
      </c>
      <c r="C277" s="1" t="s">
        <v>550</v>
      </c>
      <c r="D277" s="1" t="s">
        <v>63</v>
      </c>
      <c r="E277" s="1" t="s">
        <v>64</v>
      </c>
      <c r="F277" s="1" t="s">
        <v>13</v>
      </c>
      <c r="G277" s="1" t="s">
        <v>65</v>
      </c>
      <c r="H277" s="1" t="s">
        <v>15</v>
      </c>
      <c r="I277" s="1">
        <v>60</v>
      </c>
      <c r="J277" s="1" t="s">
        <v>66</v>
      </c>
      <c r="K277" s="1" t="s">
        <v>25</v>
      </c>
    </row>
    <row r="278" spans="2:11" ht="14.25" customHeight="1" x14ac:dyDescent="0.35">
      <c r="B278" s="2">
        <v>44745</v>
      </c>
      <c r="C278" s="1" t="s">
        <v>551</v>
      </c>
      <c r="D278" s="1" t="s">
        <v>542</v>
      </c>
      <c r="E278" s="1" t="s">
        <v>835</v>
      </c>
      <c r="F278" s="1" t="s">
        <v>21</v>
      </c>
      <c r="G278" s="1" t="s">
        <v>543</v>
      </c>
      <c r="H278" s="1" t="s">
        <v>15</v>
      </c>
      <c r="I278" s="1">
        <v>22</v>
      </c>
      <c r="J278" s="1" t="s">
        <v>151</v>
      </c>
      <c r="K278" s="1" t="s">
        <v>47</v>
      </c>
    </row>
    <row r="279" spans="2:11" ht="14.25" customHeight="1" x14ac:dyDescent="0.35">
      <c r="B279" s="2">
        <v>44746</v>
      </c>
      <c r="C279" s="1" t="s">
        <v>552</v>
      </c>
      <c r="D279" s="1" t="s">
        <v>335</v>
      </c>
      <c r="E279" s="1" t="s">
        <v>336</v>
      </c>
      <c r="F279" s="1" t="s">
        <v>13</v>
      </c>
      <c r="G279" s="1" t="s">
        <v>337</v>
      </c>
      <c r="H279" s="1" t="s">
        <v>30</v>
      </c>
      <c r="I279" s="1">
        <v>29</v>
      </c>
      <c r="J279" s="1" t="s">
        <v>66</v>
      </c>
      <c r="K279" s="1" t="s">
        <v>61</v>
      </c>
    </row>
    <row r="280" spans="2:11" ht="14.25" customHeight="1" x14ac:dyDescent="0.35">
      <c r="B280" s="2">
        <v>44746</v>
      </c>
      <c r="C280" s="1" t="s">
        <v>553</v>
      </c>
      <c r="D280" s="1" t="s">
        <v>34</v>
      </c>
      <c r="E280" s="1" t="s">
        <v>35</v>
      </c>
      <c r="F280" s="1" t="s">
        <v>13</v>
      </c>
      <c r="G280" s="1" t="s">
        <v>36</v>
      </c>
      <c r="H280" s="1" t="s">
        <v>23</v>
      </c>
      <c r="I280" s="1">
        <v>61</v>
      </c>
      <c r="J280" s="1" t="s">
        <v>167</v>
      </c>
      <c r="K280" s="1" t="s">
        <v>47</v>
      </c>
    </row>
    <row r="281" spans="2:11" ht="14.25" customHeight="1" x14ac:dyDescent="0.35">
      <c r="B281" s="2">
        <v>44747</v>
      </c>
      <c r="C281" s="1" t="s">
        <v>554</v>
      </c>
      <c r="D281" s="1" t="s">
        <v>443</v>
      </c>
      <c r="E281" s="1" t="s">
        <v>830</v>
      </c>
      <c r="F281" s="1" t="s">
        <v>13</v>
      </c>
      <c r="G281" s="1" t="s">
        <v>444</v>
      </c>
      <c r="H281" s="1" t="s">
        <v>15</v>
      </c>
      <c r="I281" s="1">
        <v>28</v>
      </c>
      <c r="J281" s="1" t="s">
        <v>66</v>
      </c>
      <c r="K281" s="1" t="s">
        <v>25</v>
      </c>
    </row>
    <row r="282" spans="2:11" ht="14.25" customHeight="1" x14ac:dyDescent="0.35">
      <c r="B282" s="2">
        <v>44752</v>
      </c>
      <c r="C282" s="1" t="s">
        <v>555</v>
      </c>
      <c r="D282" s="1" t="s">
        <v>83</v>
      </c>
      <c r="E282" s="1" t="s">
        <v>803</v>
      </c>
      <c r="F282" s="1" t="s">
        <v>13</v>
      </c>
      <c r="G282" s="1" t="s">
        <v>84</v>
      </c>
      <c r="H282" s="1" t="s">
        <v>30</v>
      </c>
      <c r="I282" s="1">
        <v>30</v>
      </c>
      <c r="J282" s="1" t="s">
        <v>66</v>
      </c>
      <c r="K282" s="1" t="s">
        <v>47</v>
      </c>
    </row>
    <row r="283" spans="2:11" ht="14.25" customHeight="1" x14ac:dyDescent="0.35">
      <c r="B283" s="2">
        <v>44752</v>
      </c>
      <c r="C283" s="1" t="s">
        <v>556</v>
      </c>
      <c r="D283" s="1" t="s">
        <v>111</v>
      </c>
      <c r="E283" s="1" t="s">
        <v>112</v>
      </c>
      <c r="F283" s="1" t="s">
        <v>21</v>
      </c>
      <c r="G283" s="1" t="s">
        <v>113</v>
      </c>
      <c r="H283" s="1" t="s">
        <v>23</v>
      </c>
      <c r="I283" s="1">
        <v>58</v>
      </c>
      <c r="J283" s="1" t="s">
        <v>24</v>
      </c>
      <c r="K283" s="1" t="s">
        <v>25</v>
      </c>
    </row>
    <row r="284" spans="2:11" ht="14.25" customHeight="1" x14ac:dyDescent="0.35">
      <c r="B284" s="2">
        <v>44752</v>
      </c>
      <c r="C284" s="1" t="s">
        <v>557</v>
      </c>
      <c r="D284" s="1" t="s">
        <v>558</v>
      </c>
      <c r="E284" s="1" t="s">
        <v>559</v>
      </c>
      <c r="F284" s="1" t="s">
        <v>13</v>
      </c>
      <c r="G284" s="1" t="s">
        <v>560</v>
      </c>
      <c r="H284" s="1" t="s">
        <v>15</v>
      </c>
      <c r="I284" s="1">
        <v>76</v>
      </c>
      <c r="J284" s="1" t="s">
        <v>66</v>
      </c>
      <c r="K284" s="1" t="s">
        <v>32</v>
      </c>
    </row>
    <row r="285" spans="2:11" ht="14.25" customHeight="1" x14ac:dyDescent="0.35">
      <c r="B285" s="2">
        <v>44752</v>
      </c>
      <c r="C285" s="1" t="s">
        <v>561</v>
      </c>
      <c r="D285" s="1" t="s">
        <v>394</v>
      </c>
      <c r="E285" s="1" t="s">
        <v>395</v>
      </c>
      <c r="F285" s="1" t="s">
        <v>13</v>
      </c>
      <c r="G285" s="1" t="s">
        <v>396</v>
      </c>
      <c r="H285" s="1" t="s">
        <v>23</v>
      </c>
      <c r="I285" s="1">
        <v>24</v>
      </c>
      <c r="J285" s="1" t="s">
        <v>151</v>
      </c>
      <c r="K285" s="1" t="s">
        <v>47</v>
      </c>
    </row>
    <row r="286" spans="2:11" ht="14.25" customHeight="1" x14ac:dyDescent="0.35">
      <c r="B286" s="2">
        <v>44754</v>
      </c>
      <c r="C286" s="1" t="s">
        <v>562</v>
      </c>
      <c r="D286" s="1" t="s">
        <v>133</v>
      </c>
      <c r="E286" s="1" t="s">
        <v>134</v>
      </c>
      <c r="F286" s="1" t="s">
        <v>13</v>
      </c>
      <c r="G286" s="1" t="s">
        <v>135</v>
      </c>
      <c r="H286" s="1" t="s">
        <v>23</v>
      </c>
      <c r="I286" s="1">
        <v>68</v>
      </c>
      <c r="J286" s="1" t="s">
        <v>52</v>
      </c>
      <c r="K286" s="1" t="s">
        <v>17</v>
      </c>
    </row>
    <row r="287" spans="2:11" ht="14.25" customHeight="1" x14ac:dyDescent="0.35">
      <c r="B287" s="2">
        <v>44754</v>
      </c>
      <c r="C287" s="1" t="s">
        <v>563</v>
      </c>
      <c r="D287" s="1" t="s">
        <v>241</v>
      </c>
      <c r="E287" s="1" t="s">
        <v>817</v>
      </c>
      <c r="F287" s="1" t="s">
        <v>21</v>
      </c>
      <c r="G287" s="1" t="s">
        <v>242</v>
      </c>
      <c r="H287" s="1" t="s">
        <v>30</v>
      </c>
      <c r="I287" s="1">
        <v>31</v>
      </c>
      <c r="J287" s="1" t="s">
        <v>52</v>
      </c>
      <c r="K287" s="1" t="s">
        <v>25</v>
      </c>
    </row>
    <row r="288" spans="2:11" ht="14.25" customHeight="1" x14ac:dyDescent="0.35">
      <c r="B288" s="2">
        <v>44756</v>
      </c>
      <c r="C288" s="1" t="s">
        <v>564</v>
      </c>
      <c r="D288" s="1" t="s">
        <v>173</v>
      </c>
      <c r="E288" s="1" t="s">
        <v>174</v>
      </c>
      <c r="F288" s="1" t="s">
        <v>21</v>
      </c>
      <c r="G288" s="1" t="s">
        <v>175</v>
      </c>
      <c r="H288" s="1" t="s">
        <v>15</v>
      </c>
      <c r="I288" s="1">
        <v>66</v>
      </c>
      <c r="J288" s="1" t="s">
        <v>151</v>
      </c>
      <c r="K288" s="1" t="s">
        <v>32</v>
      </c>
    </row>
    <row r="289" spans="2:11" ht="14.25" customHeight="1" x14ac:dyDescent="0.35">
      <c r="B289" s="2">
        <v>44756</v>
      </c>
      <c r="C289" s="1" t="s">
        <v>565</v>
      </c>
      <c r="D289" s="1" t="s">
        <v>388</v>
      </c>
      <c r="E289" s="1" t="s">
        <v>389</v>
      </c>
      <c r="F289" s="1" t="s">
        <v>13</v>
      </c>
      <c r="G289" s="1" t="s">
        <v>390</v>
      </c>
      <c r="H289" s="1" t="s">
        <v>23</v>
      </c>
      <c r="I289" s="1">
        <v>76</v>
      </c>
      <c r="J289" s="1" t="s">
        <v>16</v>
      </c>
      <c r="K289" s="1" t="s">
        <v>17</v>
      </c>
    </row>
    <row r="290" spans="2:11" ht="14.25" customHeight="1" x14ac:dyDescent="0.35">
      <c r="B290" s="2">
        <v>44757</v>
      </c>
      <c r="C290" s="1" t="s">
        <v>566</v>
      </c>
      <c r="D290" s="1" t="s">
        <v>567</v>
      </c>
      <c r="E290" s="1" t="s">
        <v>568</v>
      </c>
      <c r="F290" s="1" t="s">
        <v>13</v>
      </c>
      <c r="G290" s="1" t="s">
        <v>569</v>
      </c>
      <c r="H290" s="1" t="s">
        <v>15</v>
      </c>
      <c r="I290" s="1">
        <v>34</v>
      </c>
      <c r="J290" s="1" t="s">
        <v>16</v>
      </c>
      <c r="K290" s="1" t="s">
        <v>25</v>
      </c>
    </row>
    <row r="291" spans="2:11" ht="14.25" customHeight="1" x14ac:dyDescent="0.35">
      <c r="B291" s="2">
        <v>44758</v>
      </c>
      <c r="C291" s="1" t="s">
        <v>570</v>
      </c>
      <c r="D291" s="1" t="s">
        <v>427</v>
      </c>
      <c r="E291" s="1" t="s">
        <v>828</v>
      </c>
      <c r="F291" s="1" t="s">
        <v>21</v>
      </c>
      <c r="G291" s="1" t="s">
        <v>428</v>
      </c>
      <c r="H291" s="1" t="s">
        <v>15</v>
      </c>
      <c r="I291" s="1">
        <v>48</v>
      </c>
      <c r="J291" s="1" t="s">
        <v>31</v>
      </c>
      <c r="K291" s="1" t="s">
        <v>25</v>
      </c>
    </row>
    <row r="292" spans="2:11" ht="14.25" customHeight="1" x14ac:dyDescent="0.35">
      <c r="B292" s="2">
        <v>44759</v>
      </c>
      <c r="C292" s="1" t="s">
        <v>571</v>
      </c>
      <c r="D292" s="1" t="s">
        <v>327</v>
      </c>
      <c r="E292" s="1" t="s">
        <v>328</v>
      </c>
      <c r="F292" s="1" t="s">
        <v>13</v>
      </c>
      <c r="G292" s="1" t="s">
        <v>329</v>
      </c>
      <c r="H292" s="1" t="s">
        <v>23</v>
      </c>
      <c r="I292" s="1">
        <v>37</v>
      </c>
      <c r="J292" s="1" t="s">
        <v>151</v>
      </c>
      <c r="K292" s="1" t="s">
        <v>25</v>
      </c>
    </row>
    <row r="293" spans="2:11" ht="14.25" customHeight="1" x14ac:dyDescent="0.35">
      <c r="B293" s="2">
        <v>44759</v>
      </c>
      <c r="C293" s="1" t="s">
        <v>572</v>
      </c>
      <c r="D293" s="1" t="s">
        <v>178</v>
      </c>
      <c r="E293" s="1" t="s">
        <v>179</v>
      </c>
      <c r="F293" s="1" t="s">
        <v>13</v>
      </c>
      <c r="G293" s="1" t="s">
        <v>180</v>
      </c>
      <c r="H293" s="1" t="s">
        <v>30</v>
      </c>
      <c r="I293" s="1">
        <v>63</v>
      </c>
      <c r="J293" s="1" t="s">
        <v>52</v>
      </c>
      <c r="K293" s="1" t="s">
        <v>25</v>
      </c>
    </row>
    <row r="294" spans="2:11" ht="14.25" customHeight="1" x14ac:dyDescent="0.35">
      <c r="B294" s="2">
        <v>44760</v>
      </c>
      <c r="C294" s="1" t="s">
        <v>573</v>
      </c>
      <c r="D294" s="1" t="s">
        <v>100</v>
      </c>
      <c r="E294" s="1" t="s">
        <v>101</v>
      </c>
      <c r="F294" s="1" t="s">
        <v>13</v>
      </c>
      <c r="G294" s="1" t="s">
        <v>102</v>
      </c>
      <c r="H294" s="1" t="s">
        <v>15</v>
      </c>
      <c r="I294" s="1">
        <v>59</v>
      </c>
      <c r="J294" s="1" t="s">
        <v>37</v>
      </c>
      <c r="K294" s="1" t="s">
        <v>25</v>
      </c>
    </row>
    <row r="295" spans="2:11" ht="14.25" customHeight="1" x14ac:dyDescent="0.35">
      <c r="B295" s="2">
        <v>44762</v>
      </c>
      <c r="C295" s="1" t="s">
        <v>574</v>
      </c>
      <c r="D295" s="1" t="s">
        <v>54</v>
      </c>
      <c r="E295" s="1" t="s">
        <v>55</v>
      </c>
      <c r="F295" s="1" t="s">
        <v>21</v>
      </c>
      <c r="G295" s="1" t="s">
        <v>56</v>
      </c>
      <c r="H295" s="1" t="s">
        <v>23</v>
      </c>
      <c r="I295" s="1">
        <v>28</v>
      </c>
      <c r="J295" s="1" t="s">
        <v>42</v>
      </c>
      <c r="K295" s="1" t="s">
        <v>25</v>
      </c>
    </row>
    <row r="296" spans="2:11" ht="14.25" customHeight="1" x14ac:dyDescent="0.35">
      <c r="B296" s="2">
        <v>44762</v>
      </c>
      <c r="C296" s="1" t="s">
        <v>575</v>
      </c>
      <c r="D296" s="1" t="s">
        <v>34</v>
      </c>
      <c r="E296" s="1" t="s">
        <v>35</v>
      </c>
      <c r="F296" s="1" t="s">
        <v>13</v>
      </c>
      <c r="G296" s="1" t="s">
        <v>36</v>
      </c>
      <c r="H296" s="1" t="s">
        <v>23</v>
      </c>
      <c r="I296" s="1">
        <v>61</v>
      </c>
      <c r="J296" s="1" t="s">
        <v>42</v>
      </c>
      <c r="K296" s="1" t="s">
        <v>25</v>
      </c>
    </row>
    <row r="297" spans="2:11" ht="14.25" customHeight="1" x14ac:dyDescent="0.35">
      <c r="B297" s="2">
        <v>44762</v>
      </c>
      <c r="C297" s="1" t="s">
        <v>576</v>
      </c>
      <c r="D297" s="1" t="s">
        <v>398</v>
      </c>
      <c r="E297" s="1" t="s">
        <v>827</v>
      </c>
      <c r="F297" s="1" t="s">
        <v>21</v>
      </c>
      <c r="G297" s="1" t="s">
        <v>399</v>
      </c>
      <c r="H297" s="1" t="s">
        <v>15</v>
      </c>
      <c r="I297" s="1">
        <v>32</v>
      </c>
      <c r="J297" s="1" t="s">
        <v>57</v>
      </c>
      <c r="K297" s="1" t="s">
        <v>32</v>
      </c>
    </row>
    <row r="298" spans="2:11" ht="14.25" customHeight="1" x14ac:dyDescent="0.35">
      <c r="B298" s="2">
        <v>44764</v>
      </c>
      <c r="C298" s="1" t="s">
        <v>577</v>
      </c>
      <c r="D298" s="1" t="s">
        <v>71</v>
      </c>
      <c r="E298" s="1" t="s">
        <v>802</v>
      </c>
      <c r="F298" s="1" t="s">
        <v>21</v>
      </c>
      <c r="G298" s="1" t="s">
        <v>72</v>
      </c>
      <c r="H298" s="1" t="s">
        <v>23</v>
      </c>
      <c r="I298" s="1">
        <v>54</v>
      </c>
      <c r="J298" s="1" t="s">
        <v>57</v>
      </c>
      <c r="K298" s="1" t="s">
        <v>61</v>
      </c>
    </row>
    <row r="299" spans="2:11" ht="14.25" customHeight="1" x14ac:dyDescent="0.35">
      <c r="B299" s="2">
        <v>44765</v>
      </c>
      <c r="C299" s="1" t="s">
        <v>578</v>
      </c>
      <c r="D299" s="1" t="s">
        <v>488</v>
      </c>
      <c r="E299" s="1" t="s">
        <v>833</v>
      </c>
      <c r="F299" s="1" t="s">
        <v>13</v>
      </c>
      <c r="G299" s="1" t="s">
        <v>489</v>
      </c>
      <c r="H299" s="1" t="s">
        <v>15</v>
      </c>
      <c r="I299" s="1">
        <v>59</v>
      </c>
      <c r="J299" s="1" t="s">
        <v>167</v>
      </c>
      <c r="K299" s="1" t="s">
        <v>61</v>
      </c>
    </row>
    <row r="300" spans="2:11" ht="14.25" customHeight="1" x14ac:dyDescent="0.35">
      <c r="B300" s="2">
        <v>44766</v>
      </c>
      <c r="C300" s="1" t="s">
        <v>579</v>
      </c>
      <c r="D300" s="1" t="s">
        <v>488</v>
      </c>
      <c r="E300" s="1" t="s">
        <v>833</v>
      </c>
      <c r="F300" s="1" t="s">
        <v>13</v>
      </c>
      <c r="G300" s="1" t="s">
        <v>489</v>
      </c>
      <c r="H300" s="1" t="s">
        <v>15</v>
      </c>
      <c r="I300" s="1">
        <v>59</v>
      </c>
      <c r="J300" s="1" t="s">
        <v>52</v>
      </c>
      <c r="K300" s="1" t="s">
        <v>25</v>
      </c>
    </row>
    <row r="301" spans="2:11" ht="14.25" customHeight="1" x14ac:dyDescent="0.35">
      <c r="B301" s="2">
        <v>44767</v>
      </c>
      <c r="C301" s="1" t="s">
        <v>580</v>
      </c>
      <c r="D301" s="1" t="s">
        <v>250</v>
      </c>
      <c r="E301" s="1" t="s">
        <v>251</v>
      </c>
      <c r="F301" s="1" t="s">
        <v>21</v>
      </c>
      <c r="G301" s="1" t="s">
        <v>252</v>
      </c>
      <c r="H301" s="1" t="s">
        <v>15</v>
      </c>
      <c r="I301" s="1">
        <v>35</v>
      </c>
      <c r="J301" s="1" t="s">
        <v>57</v>
      </c>
      <c r="K301" s="1" t="s">
        <v>32</v>
      </c>
    </row>
    <row r="302" spans="2:11" ht="14.25" customHeight="1" x14ac:dyDescent="0.35">
      <c r="B302" s="2">
        <v>44767</v>
      </c>
      <c r="C302" s="1" t="s">
        <v>581</v>
      </c>
      <c r="D302" s="1" t="s">
        <v>19</v>
      </c>
      <c r="E302" s="1" t="s">
        <v>20</v>
      </c>
      <c r="F302" s="1" t="s">
        <v>21</v>
      </c>
      <c r="G302" s="1" t="s">
        <v>22</v>
      </c>
      <c r="H302" s="1" t="s">
        <v>23</v>
      </c>
      <c r="I302" s="1">
        <v>72</v>
      </c>
      <c r="J302" s="1" t="s">
        <v>16</v>
      </c>
      <c r="K302" s="1" t="s">
        <v>25</v>
      </c>
    </row>
    <row r="303" spans="2:11" ht="14.25" customHeight="1" x14ac:dyDescent="0.35">
      <c r="B303" s="2">
        <v>44767</v>
      </c>
      <c r="C303" s="1" t="s">
        <v>582</v>
      </c>
      <c r="D303" s="1" t="s">
        <v>244</v>
      </c>
      <c r="E303" s="1" t="s">
        <v>245</v>
      </c>
      <c r="F303" s="1" t="s">
        <v>21</v>
      </c>
      <c r="G303" s="1" t="s">
        <v>246</v>
      </c>
      <c r="H303" s="1" t="s">
        <v>15</v>
      </c>
      <c r="I303" s="1">
        <v>29</v>
      </c>
      <c r="J303" s="1" t="s">
        <v>42</v>
      </c>
      <c r="K303" s="1" t="s">
        <v>47</v>
      </c>
    </row>
    <row r="304" spans="2:11" ht="14.25" customHeight="1" x14ac:dyDescent="0.35">
      <c r="B304" s="2">
        <v>44769</v>
      </c>
      <c r="C304" s="1" t="s">
        <v>583</v>
      </c>
      <c r="D304" s="1" t="s">
        <v>295</v>
      </c>
      <c r="E304" s="1" t="s">
        <v>296</v>
      </c>
      <c r="F304" s="1" t="s">
        <v>13</v>
      </c>
      <c r="G304" s="1" t="s">
        <v>297</v>
      </c>
      <c r="H304" s="1" t="s">
        <v>23</v>
      </c>
      <c r="I304" s="1">
        <v>47</v>
      </c>
      <c r="J304" s="1" t="s">
        <v>42</v>
      </c>
      <c r="K304" s="1" t="s">
        <v>25</v>
      </c>
    </row>
    <row r="305" spans="2:11" ht="14.25" customHeight="1" x14ac:dyDescent="0.35">
      <c r="B305" s="2">
        <v>44771</v>
      </c>
      <c r="C305" s="1" t="s">
        <v>584</v>
      </c>
      <c r="D305" s="1" t="s">
        <v>375</v>
      </c>
      <c r="E305" s="1" t="s">
        <v>376</v>
      </c>
      <c r="F305" s="1" t="s">
        <v>13</v>
      </c>
      <c r="G305" s="1" t="s">
        <v>377</v>
      </c>
      <c r="H305" s="1" t="s">
        <v>15</v>
      </c>
      <c r="I305" s="1">
        <v>35</v>
      </c>
      <c r="J305" s="1" t="s">
        <v>37</v>
      </c>
      <c r="K305" s="1" t="s">
        <v>47</v>
      </c>
    </row>
    <row r="306" spans="2:11" ht="14.25" customHeight="1" x14ac:dyDescent="0.35">
      <c r="B306" s="2">
        <v>44771</v>
      </c>
      <c r="C306" s="1" t="s">
        <v>585</v>
      </c>
      <c r="D306" s="1" t="s">
        <v>482</v>
      </c>
      <c r="E306" s="1" t="s">
        <v>483</v>
      </c>
      <c r="F306" s="1" t="s">
        <v>21</v>
      </c>
      <c r="G306" s="1" t="s">
        <v>484</v>
      </c>
      <c r="H306" s="1" t="s">
        <v>15</v>
      </c>
      <c r="I306" s="1">
        <v>24</v>
      </c>
      <c r="J306" s="1" t="s">
        <v>57</v>
      </c>
      <c r="K306" s="1" t="s">
        <v>47</v>
      </c>
    </row>
    <row r="307" spans="2:11" ht="14.25" customHeight="1" x14ac:dyDescent="0.35">
      <c r="B307" s="2">
        <v>44771</v>
      </c>
      <c r="C307" s="1" t="s">
        <v>586</v>
      </c>
      <c r="D307" s="1" t="s">
        <v>63</v>
      </c>
      <c r="E307" s="1" t="s">
        <v>64</v>
      </c>
      <c r="F307" s="1" t="s">
        <v>13</v>
      </c>
      <c r="G307" s="1" t="s">
        <v>65</v>
      </c>
      <c r="H307" s="1" t="s">
        <v>15</v>
      </c>
      <c r="I307" s="1">
        <v>60</v>
      </c>
      <c r="J307" s="1" t="s">
        <v>42</v>
      </c>
      <c r="K307" s="1" t="s">
        <v>25</v>
      </c>
    </row>
    <row r="308" spans="2:11" ht="14.25" customHeight="1" x14ac:dyDescent="0.35">
      <c r="B308" s="2">
        <v>44772</v>
      </c>
      <c r="C308" s="1" t="s">
        <v>587</v>
      </c>
      <c r="D308" s="1" t="s">
        <v>169</v>
      </c>
      <c r="E308" s="1" t="s">
        <v>170</v>
      </c>
      <c r="F308" s="1" t="s">
        <v>13</v>
      </c>
      <c r="G308" s="1" t="s">
        <v>171</v>
      </c>
      <c r="H308" s="1" t="s">
        <v>30</v>
      </c>
      <c r="I308" s="1">
        <v>29</v>
      </c>
      <c r="J308" s="1" t="s">
        <v>167</v>
      </c>
      <c r="K308" s="1" t="s">
        <v>25</v>
      </c>
    </row>
    <row r="309" spans="2:11" ht="14.25" customHeight="1" x14ac:dyDescent="0.35">
      <c r="B309" s="2">
        <v>44772</v>
      </c>
      <c r="C309" s="1" t="s">
        <v>588</v>
      </c>
      <c r="D309" s="1" t="s">
        <v>223</v>
      </c>
      <c r="E309" s="1" t="s">
        <v>224</v>
      </c>
      <c r="F309" s="1" t="s">
        <v>21</v>
      </c>
      <c r="G309" s="1" t="s">
        <v>225</v>
      </c>
      <c r="H309" s="1" t="s">
        <v>30</v>
      </c>
      <c r="I309" s="1">
        <v>68</v>
      </c>
      <c r="J309" s="1" t="s">
        <v>24</v>
      </c>
      <c r="K309" s="1" t="s">
        <v>47</v>
      </c>
    </row>
    <row r="310" spans="2:11" ht="14.25" customHeight="1" x14ac:dyDescent="0.35">
      <c r="B310" s="2">
        <v>44772</v>
      </c>
      <c r="C310" s="1" t="s">
        <v>589</v>
      </c>
      <c r="D310" s="1" t="s">
        <v>590</v>
      </c>
      <c r="E310" s="1" t="s">
        <v>591</v>
      </c>
      <c r="F310" s="1" t="s">
        <v>13</v>
      </c>
      <c r="G310" s="1" t="s">
        <v>592</v>
      </c>
      <c r="H310" s="1" t="s">
        <v>30</v>
      </c>
      <c r="I310" s="1">
        <v>44</v>
      </c>
      <c r="J310" s="1" t="s">
        <v>57</v>
      </c>
      <c r="K310" s="1" t="s">
        <v>32</v>
      </c>
    </row>
    <row r="311" spans="2:11" ht="14.25" customHeight="1" x14ac:dyDescent="0.35">
      <c r="B311" s="2">
        <v>44774</v>
      </c>
      <c r="C311" s="1" t="s">
        <v>593</v>
      </c>
      <c r="D311" s="1" t="s">
        <v>75</v>
      </c>
      <c r="E311" s="1" t="s">
        <v>76</v>
      </c>
      <c r="F311" s="1" t="s">
        <v>21</v>
      </c>
      <c r="G311" s="1" t="s">
        <v>77</v>
      </c>
      <c r="H311" s="1" t="s">
        <v>30</v>
      </c>
      <c r="I311" s="1">
        <v>19</v>
      </c>
      <c r="J311" s="1" t="s">
        <v>66</v>
      </c>
      <c r="K311" s="1" t="s">
        <v>61</v>
      </c>
    </row>
    <row r="312" spans="2:11" ht="14.25" customHeight="1" x14ac:dyDescent="0.35">
      <c r="B312" s="2">
        <v>44775</v>
      </c>
      <c r="C312" s="1" t="s">
        <v>594</v>
      </c>
      <c r="D312" s="1" t="s">
        <v>100</v>
      </c>
      <c r="E312" s="1" t="s">
        <v>101</v>
      </c>
      <c r="F312" s="1" t="s">
        <v>13</v>
      </c>
      <c r="G312" s="1" t="s">
        <v>102</v>
      </c>
      <c r="H312" s="1" t="s">
        <v>15</v>
      </c>
      <c r="I312" s="1">
        <v>59</v>
      </c>
      <c r="J312" s="1" t="s">
        <v>66</v>
      </c>
      <c r="K312" s="1" t="s">
        <v>47</v>
      </c>
    </row>
    <row r="313" spans="2:11" ht="14.25" customHeight="1" x14ac:dyDescent="0.35">
      <c r="B313" s="2">
        <v>44775</v>
      </c>
      <c r="C313" s="1" t="s">
        <v>595</v>
      </c>
      <c r="D313" s="1" t="s">
        <v>281</v>
      </c>
      <c r="E313" s="1" t="s">
        <v>282</v>
      </c>
      <c r="F313" s="1" t="s">
        <v>21</v>
      </c>
      <c r="G313" s="1" t="s">
        <v>283</v>
      </c>
      <c r="H313" s="1" t="s">
        <v>30</v>
      </c>
      <c r="I313" s="1">
        <v>40</v>
      </c>
      <c r="J313" s="1" t="s">
        <v>31</v>
      </c>
      <c r="K313" s="1" t="s">
        <v>25</v>
      </c>
    </row>
    <row r="314" spans="2:11" ht="14.25" customHeight="1" x14ac:dyDescent="0.35">
      <c r="B314" s="2">
        <v>44775</v>
      </c>
      <c r="C314" s="1" t="s">
        <v>596</v>
      </c>
      <c r="D314" s="1" t="s">
        <v>476</v>
      </c>
      <c r="E314" s="1" t="s">
        <v>832</v>
      </c>
      <c r="F314" s="1" t="s">
        <v>13</v>
      </c>
      <c r="G314" s="1" t="s">
        <v>477</v>
      </c>
      <c r="H314" s="1" t="s">
        <v>15</v>
      </c>
      <c r="I314" s="1">
        <v>64</v>
      </c>
      <c r="J314" s="1" t="s">
        <v>66</v>
      </c>
      <c r="K314" s="1" t="s">
        <v>25</v>
      </c>
    </row>
    <row r="315" spans="2:11" ht="14.25" customHeight="1" x14ac:dyDescent="0.35">
      <c r="B315" s="2">
        <v>44775</v>
      </c>
      <c r="C315" s="1" t="s">
        <v>597</v>
      </c>
      <c r="D315" s="1" t="s">
        <v>137</v>
      </c>
      <c r="E315" s="1" t="s">
        <v>138</v>
      </c>
      <c r="F315" s="1" t="s">
        <v>21</v>
      </c>
      <c r="G315" s="1" t="s">
        <v>139</v>
      </c>
      <c r="H315" s="1" t="s">
        <v>15</v>
      </c>
      <c r="I315" s="1">
        <v>37</v>
      </c>
      <c r="J315" s="1" t="s">
        <v>42</v>
      </c>
      <c r="K315" s="1" t="s">
        <v>32</v>
      </c>
    </row>
    <row r="316" spans="2:11" ht="14.25" customHeight="1" x14ac:dyDescent="0.35">
      <c r="B316" s="2">
        <v>44776</v>
      </c>
      <c r="C316" s="1" t="s">
        <v>598</v>
      </c>
      <c r="D316" s="1" t="s">
        <v>314</v>
      </c>
      <c r="E316" s="1" t="s">
        <v>315</v>
      </c>
      <c r="F316" s="1" t="s">
        <v>21</v>
      </c>
      <c r="G316" s="1" t="s">
        <v>316</v>
      </c>
      <c r="H316" s="1" t="s">
        <v>23</v>
      </c>
      <c r="I316" s="1">
        <v>28</v>
      </c>
      <c r="J316" s="1" t="s">
        <v>37</v>
      </c>
      <c r="K316" s="1" t="s">
        <v>25</v>
      </c>
    </row>
    <row r="317" spans="2:11" ht="14.25" customHeight="1" x14ac:dyDescent="0.35">
      <c r="B317" s="2">
        <v>44778</v>
      </c>
      <c r="C317" s="1" t="s">
        <v>599</v>
      </c>
      <c r="D317" s="1" t="s">
        <v>335</v>
      </c>
      <c r="E317" s="1" t="s">
        <v>336</v>
      </c>
      <c r="F317" s="1" t="s">
        <v>13</v>
      </c>
      <c r="G317" s="1" t="s">
        <v>337</v>
      </c>
      <c r="H317" s="1" t="s">
        <v>30</v>
      </c>
      <c r="I317" s="1">
        <v>29</v>
      </c>
      <c r="J317" s="1" t="s">
        <v>52</v>
      </c>
      <c r="K317" s="1" t="s">
        <v>25</v>
      </c>
    </row>
    <row r="318" spans="2:11" ht="14.25" customHeight="1" x14ac:dyDescent="0.35">
      <c r="B318" s="2">
        <v>44778</v>
      </c>
      <c r="C318" s="1" t="s">
        <v>600</v>
      </c>
      <c r="D318" s="1" t="s">
        <v>145</v>
      </c>
      <c r="E318" s="1" t="s">
        <v>146</v>
      </c>
      <c r="F318" s="1" t="s">
        <v>13</v>
      </c>
      <c r="G318" s="1" t="s">
        <v>147</v>
      </c>
      <c r="H318" s="1" t="s">
        <v>23</v>
      </c>
      <c r="I318" s="1">
        <v>46</v>
      </c>
      <c r="J318" s="1" t="s">
        <v>16</v>
      </c>
      <c r="K318" s="1" t="s">
        <v>25</v>
      </c>
    </row>
    <row r="319" spans="2:11" ht="14.25" customHeight="1" x14ac:dyDescent="0.35">
      <c r="B319" s="2">
        <v>44780</v>
      </c>
      <c r="C319" s="1" t="s">
        <v>601</v>
      </c>
      <c r="D319" s="1" t="s">
        <v>430</v>
      </c>
      <c r="E319" s="1" t="s">
        <v>829</v>
      </c>
      <c r="F319" s="1" t="s">
        <v>21</v>
      </c>
      <c r="G319" s="1" t="s">
        <v>431</v>
      </c>
      <c r="H319" s="1" t="s">
        <v>15</v>
      </c>
      <c r="I319" s="1">
        <v>26</v>
      </c>
      <c r="J319" s="1" t="s">
        <v>24</v>
      </c>
      <c r="K319" s="1" t="s">
        <v>25</v>
      </c>
    </row>
    <row r="320" spans="2:11" ht="14.25" customHeight="1" x14ac:dyDescent="0.35">
      <c r="B320" s="2">
        <v>44782</v>
      </c>
      <c r="C320" s="1" t="s">
        <v>602</v>
      </c>
      <c r="D320" s="1" t="s">
        <v>196</v>
      </c>
      <c r="E320" s="1" t="s">
        <v>197</v>
      </c>
      <c r="F320" s="1" t="s">
        <v>13</v>
      </c>
      <c r="G320" s="1" t="s">
        <v>198</v>
      </c>
      <c r="H320" s="1" t="s">
        <v>30</v>
      </c>
      <c r="I320" s="1">
        <v>39</v>
      </c>
      <c r="J320" s="1" t="s">
        <v>66</v>
      </c>
      <c r="K320" s="1" t="s">
        <v>25</v>
      </c>
    </row>
    <row r="321" spans="2:11" ht="14.25" customHeight="1" x14ac:dyDescent="0.35">
      <c r="B321" s="2">
        <v>44783</v>
      </c>
      <c r="C321" s="1" t="s">
        <v>603</v>
      </c>
      <c r="D321" s="1" t="s">
        <v>214</v>
      </c>
      <c r="E321" s="1" t="s">
        <v>215</v>
      </c>
      <c r="F321" s="1" t="s">
        <v>21</v>
      </c>
      <c r="G321" s="1" t="s">
        <v>216</v>
      </c>
      <c r="H321" s="1" t="s">
        <v>30</v>
      </c>
      <c r="I321" s="1">
        <v>29</v>
      </c>
      <c r="J321" s="1" t="s">
        <v>57</v>
      </c>
      <c r="K321" s="1" t="s">
        <v>61</v>
      </c>
    </row>
    <row r="322" spans="2:11" ht="14.25" customHeight="1" x14ac:dyDescent="0.35">
      <c r="B322" s="2">
        <v>44783</v>
      </c>
      <c r="C322" s="1" t="s">
        <v>604</v>
      </c>
      <c r="D322" s="1" t="s">
        <v>111</v>
      </c>
      <c r="E322" s="1" t="s">
        <v>112</v>
      </c>
      <c r="F322" s="1" t="s">
        <v>21</v>
      </c>
      <c r="G322" s="1" t="s">
        <v>113</v>
      </c>
      <c r="H322" s="1" t="s">
        <v>23</v>
      </c>
      <c r="I322" s="1">
        <v>58</v>
      </c>
      <c r="J322" s="1" t="s">
        <v>151</v>
      </c>
      <c r="K322" s="1" t="s">
        <v>17</v>
      </c>
    </row>
    <row r="323" spans="2:11" ht="14.25" customHeight="1" x14ac:dyDescent="0.35">
      <c r="B323" s="2">
        <v>44784</v>
      </c>
      <c r="C323" s="1" t="s">
        <v>605</v>
      </c>
      <c r="D323" s="1" t="s">
        <v>34</v>
      </c>
      <c r="E323" s="1" t="s">
        <v>35</v>
      </c>
      <c r="F323" s="1" t="s">
        <v>13</v>
      </c>
      <c r="G323" s="1" t="s">
        <v>36</v>
      </c>
      <c r="H323" s="1" t="s">
        <v>23</v>
      </c>
      <c r="I323" s="1">
        <v>61</v>
      </c>
      <c r="J323" s="1" t="s">
        <v>37</v>
      </c>
      <c r="K323" s="1" t="s">
        <v>25</v>
      </c>
    </row>
    <row r="324" spans="2:11" ht="14.25" customHeight="1" x14ac:dyDescent="0.35">
      <c r="B324" s="2">
        <v>44784</v>
      </c>
      <c r="C324" s="1" t="s">
        <v>606</v>
      </c>
      <c r="D324" s="1" t="s">
        <v>34</v>
      </c>
      <c r="E324" s="1" t="s">
        <v>35</v>
      </c>
      <c r="F324" s="1" t="s">
        <v>13</v>
      </c>
      <c r="G324" s="1" t="s">
        <v>36</v>
      </c>
      <c r="H324" s="1" t="s">
        <v>23</v>
      </c>
      <c r="I324" s="1">
        <v>61</v>
      </c>
      <c r="J324" s="1" t="s">
        <v>57</v>
      </c>
      <c r="K324" s="1" t="s">
        <v>32</v>
      </c>
    </row>
    <row r="325" spans="2:11" ht="14.25" customHeight="1" x14ac:dyDescent="0.35">
      <c r="B325" s="2">
        <v>44784</v>
      </c>
      <c r="C325" s="1" t="s">
        <v>607</v>
      </c>
      <c r="D325" s="1" t="s">
        <v>178</v>
      </c>
      <c r="E325" s="1" t="s">
        <v>179</v>
      </c>
      <c r="F325" s="1" t="s">
        <v>13</v>
      </c>
      <c r="G325" s="1" t="s">
        <v>180</v>
      </c>
      <c r="H325" s="1" t="s">
        <v>30</v>
      </c>
      <c r="I325" s="1">
        <v>63</v>
      </c>
      <c r="J325" s="1" t="s">
        <v>52</v>
      </c>
      <c r="K325" s="1" t="s">
        <v>47</v>
      </c>
    </row>
    <row r="326" spans="2:11" ht="14.25" customHeight="1" x14ac:dyDescent="0.35">
      <c r="B326" s="2">
        <v>44784</v>
      </c>
      <c r="C326" s="1" t="s">
        <v>608</v>
      </c>
      <c r="D326" s="1" t="s">
        <v>59</v>
      </c>
      <c r="E326" s="1" t="s">
        <v>800</v>
      </c>
      <c r="F326" s="1" t="s">
        <v>13</v>
      </c>
      <c r="G326" s="1" t="s">
        <v>60</v>
      </c>
      <c r="H326" s="1" t="s">
        <v>15</v>
      </c>
      <c r="I326" s="1">
        <v>48</v>
      </c>
      <c r="J326" s="1" t="s">
        <v>37</v>
      </c>
      <c r="K326" s="1" t="s">
        <v>17</v>
      </c>
    </row>
    <row r="327" spans="2:11" ht="14.25" customHeight="1" x14ac:dyDescent="0.35">
      <c r="B327" s="2">
        <v>44784</v>
      </c>
      <c r="C327" s="1" t="s">
        <v>609</v>
      </c>
      <c r="D327" s="1" t="s">
        <v>196</v>
      </c>
      <c r="E327" s="1" t="s">
        <v>197</v>
      </c>
      <c r="F327" s="1" t="s">
        <v>13</v>
      </c>
      <c r="G327" s="1" t="s">
        <v>198</v>
      </c>
      <c r="H327" s="1" t="s">
        <v>30</v>
      </c>
      <c r="I327" s="1">
        <v>39</v>
      </c>
      <c r="J327" s="1" t="s">
        <v>31</v>
      </c>
      <c r="K327" s="1" t="s">
        <v>61</v>
      </c>
    </row>
    <row r="328" spans="2:11" ht="14.25" customHeight="1" x14ac:dyDescent="0.35">
      <c r="B328" s="2">
        <v>44784</v>
      </c>
      <c r="C328" s="1" t="s">
        <v>610</v>
      </c>
      <c r="D328" s="1" t="s">
        <v>54</v>
      </c>
      <c r="E328" s="1" t="s">
        <v>55</v>
      </c>
      <c r="F328" s="1" t="s">
        <v>21</v>
      </c>
      <c r="G328" s="1" t="s">
        <v>56</v>
      </c>
      <c r="H328" s="1" t="s">
        <v>23</v>
      </c>
      <c r="I328" s="1">
        <v>28</v>
      </c>
      <c r="J328" s="1" t="s">
        <v>66</v>
      </c>
      <c r="K328" s="1" t="s">
        <v>25</v>
      </c>
    </row>
    <row r="329" spans="2:11" ht="14.25" customHeight="1" x14ac:dyDescent="0.35">
      <c r="B329" s="2">
        <v>44785</v>
      </c>
      <c r="C329" s="1" t="s">
        <v>611</v>
      </c>
      <c r="D329" s="1" t="s">
        <v>196</v>
      </c>
      <c r="E329" s="1" t="s">
        <v>197</v>
      </c>
      <c r="F329" s="1" t="s">
        <v>13</v>
      </c>
      <c r="G329" s="1" t="s">
        <v>198</v>
      </c>
      <c r="H329" s="1" t="s">
        <v>30</v>
      </c>
      <c r="I329" s="1">
        <v>39</v>
      </c>
      <c r="J329" s="1" t="s">
        <v>57</v>
      </c>
      <c r="K329" s="1" t="s">
        <v>17</v>
      </c>
    </row>
    <row r="330" spans="2:11" ht="14.25" customHeight="1" x14ac:dyDescent="0.35">
      <c r="B330" s="2">
        <v>44785</v>
      </c>
      <c r="C330" s="1" t="s">
        <v>612</v>
      </c>
      <c r="D330" s="1" t="s">
        <v>111</v>
      </c>
      <c r="E330" s="1" t="s">
        <v>112</v>
      </c>
      <c r="F330" s="1" t="s">
        <v>21</v>
      </c>
      <c r="G330" s="1" t="s">
        <v>113</v>
      </c>
      <c r="H330" s="1" t="s">
        <v>23</v>
      </c>
      <c r="I330" s="1">
        <v>58</v>
      </c>
      <c r="J330" s="1" t="s">
        <v>66</v>
      </c>
      <c r="K330" s="1" t="s">
        <v>25</v>
      </c>
    </row>
    <row r="331" spans="2:11" ht="14.25" customHeight="1" x14ac:dyDescent="0.35">
      <c r="B331" s="2">
        <v>44786</v>
      </c>
      <c r="C331" s="1" t="s">
        <v>613</v>
      </c>
      <c r="D331" s="1" t="s">
        <v>482</v>
      </c>
      <c r="E331" s="1" t="s">
        <v>483</v>
      </c>
      <c r="F331" s="1" t="s">
        <v>21</v>
      </c>
      <c r="G331" s="1" t="s">
        <v>484</v>
      </c>
      <c r="H331" s="1" t="s">
        <v>15</v>
      </c>
      <c r="I331" s="1">
        <v>24</v>
      </c>
      <c r="J331" s="1" t="s">
        <v>167</v>
      </c>
      <c r="K331" s="1" t="s">
        <v>61</v>
      </c>
    </row>
    <row r="332" spans="2:11" ht="14.25" customHeight="1" x14ac:dyDescent="0.35">
      <c r="B332" s="2">
        <v>44787</v>
      </c>
      <c r="C332" s="1" t="s">
        <v>614</v>
      </c>
      <c r="D332" s="1" t="s">
        <v>275</v>
      </c>
      <c r="E332" s="1" t="s">
        <v>276</v>
      </c>
      <c r="F332" s="1" t="s">
        <v>13</v>
      </c>
      <c r="G332" s="1" t="s">
        <v>277</v>
      </c>
      <c r="H332" s="1" t="s">
        <v>30</v>
      </c>
      <c r="I332" s="1">
        <v>64</v>
      </c>
      <c r="J332" s="1" t="s">
        <v>57</v>
      </c>
      <c r="K332" s="1" t="s">
        <v>47</v>
      </c>
    </row>
    <row r="333" spans="2:11" ht="14.25" customHeight="1" x14ac:dyDescent="0.35">
      <c r="B333" s="2">
        <v>44788</v>
      </c>
      <c r="C333" s="1" t="s">
        <v>615</v>
      </c>
      <c r="D333" s="1" t="s">
        <v>314</v>
      </c>
      <c r="E333" s="1" t="s">
        <v>315</v>
      </c>
      <c r="F333" s="1" t="s">
        <v>21</v>
      </c>
      <c r="G333" s="1" t="s">
        <v>316</v>
      </c>
      <c r="H333" s="1" t="s">
        <v>23</v>
      </c>
      <c r="I333" s="1">
        <v>28</v>
      </c>
      <c r="J333" s="1" t="s">
        <v>16</v>
      </c>
      <c r="K333" s="1" t="s">
        <v>47</v>
      </c>
    </row>
    <row r="334" spans="2:11" ht="14.25" customHeight="1" x14ac:dyDescent="0.35">
      <c r="B334" s="2">
        <v>44789</v>
      </c>
      <c r="C334" s="1" t="s">
        <v>616</v>
      </c>
      <c r="D334" s="1" t="s">
        <v>44</v>
      </c>
      <c r="E334" s="1" t="s">
        <v>45</v>
      </c>
      <c r="F334" s="1" t="s">
        <v>13</v>
      </c>
      <c r="G334" s="1" t="s">
        <v>46</v>
      </c>
      <c r="H334" s="1" t="s">
        <v>15</v>
      </c>
      <c r="I334" s="1">
        <v>22</v>
      </c>
      <c r="J334" s="1" t="s">
        <v>52</v>
      </c>
      <c r="K334" s="1" t="s">
        <v>25</v>
      </c>
    </row>
    <row r="335" spans="2:11" ht="14.25" customHeight="1" x14ac:dyDescent="0.35">
      <c r="B335" s="2">
        <v>44791</v>
      </c>
      <c r="C335" s="1" t="s">
        <v>617</v>
      </c>
      <c r="D335" s="1" t="s">
        <v>375</v>
      </c>
      <c r="E335" s="1" t="s">
        <v>376</v>
      </c>
      <c r="F335" s="1" t="s">
        <v>13</v>
      </c>
      <c r="G335" s="1" t="s">
        <v>377</v>
      </c>
      <c r="H335" s="1" t="s">
        <v>15</v>
      </c>
      <c r="I335" s="1">
        <v>35</v>
      </c>
      <c r="J335" s="1" t="s">
        <v>66</v>
      </c>
      <c r="K335" s="1" t="s">
        <v>47</v>
      </c>
    </row>
    <row r="336" spans="2:11" ht="14.25" customHeight="1" x14ac:dyDescent="0.35">
      <c r="B336" s="2">
        <v>44792</v>
      </c>
      <c r="C336" s="1" t="s">
        <v>618</v>
      </c>
      <c r="D336" s="1" t="s">
        <v>75</v>
      </c>
      <c r="E336" s="1" t="s">
        <v>76</v>
      </c>
      <c r="F336" s="1" t="s">
        <v>21</v>
      </c>
      <c r="G336" s="1" t="s">
        <v>77</v>
      </c>
      <c r="H336" s="1" t="s">
        <v>30</v>
      </c>
      <c r="I336" s="1">
        <v>19</v>
      </c>
      <c r="J336" s="1" t="s">
        <v>167</v>
      </c>
      <c r="K336" s="1" t="s">
        <v>17</v>
      </c>
    </row>
    <row r="337" spans="2:11" ht="14.25" customHeight="1" x14ac:dyDescent="0.35">
      <c r="B337" s="2">
        <v>44792</v>
      </c>
      <c r="C337" s="1" t="s">
        <v>619</v>
      </c>
      <c r="D337" s="1" t="s">
        <v>141</v>
      </c>
      <c r="E337" s="1" t="s">
        <v>142</v>
      </c>
      <c r="F337" s="1" t="s">
        <v>21</v>
      </c>
      <c r="G337" s="1" t="s">
        <v>143</v>
      </c>
      <c r="H337" s="1" t="s">
        <v>15</v>
      </c>
      <c r="I337" s="1">
        <v>34</v>
      </c>
      <c r="J337" s="1" t="s">
        <v>66</v>
      </c>
      <c r="K337" s="1" t="s">
        <v>17</v>
      </c>
    </row>
    <row r="338" spans="2:11" ht="14.25" customHeight="1" x14ac:dyDescent="0.35">
      <c r="B338" s="2">
        <v>44792</v>
      </c>
      <c r="C338" s="1" t="s">
        <v>620</v>
      </c>
      <c r="D338" s="1" t="s">
        <v>472</v>
      </c>
      <c r="E338" s="1" t="s">
        <v>473</v>
      </c>
      <c r="F338" s="1" t="s">
        <v>21</v>
      </c>
      <c r="G338" s="1" t="s">
        <v>474</v>
      </c>
      <c r="H338" s="1" t="s">
        <v>15</v>
      </c>
      <c r="I338" s="1">
        <v>51</v>
      </c>
      <c r="J338" s="1" t="s">
        <v>151</v>
      </c>
      <c r="K338" s="1" t="s">
        <v>25</v>
      </c>
    </row>
    <row r="339" spans="2:11" ht="14.25" customHeight="1" x14ac:dyDescent="0.35">
      <c r="B339" s="2">
        <v>44792</v>
      </c>
      <c r="C339" s="1" t="s">
        <v>621</v>
      </c>
      <c r="D339" s="1" t="s">
        <v>158</v>
      </c>
      <c r="E339" s="1" t="s">
        <v>159</v>
      </c>
      <c r="F339" s="1" t="s">
        <v>13</v>
      </c>
      <c r="G339" s="1" t="s">
        <v>160</v>
      </c>
      <c r="H339" s="1" t="s">
        <v>23</v>
      </c>
      <c r="I339" s="1">
        <v>60</v>
      </c>
      <c r="J339" s="1" t="s">
        <v>16</v>
      </c>
      <c r="K339" s="1" t="s">
        <v>47</v>
      </c>
    </row>
    <row r="340" spans="2:11" ht="14.25" customHeight="1" x14ac:dyDescent="0.35">
      <c r="B340" s="2">
        <v>44792</v>
      </c>
      <c r="C340" s="1" t="s">
        <v>622</v>
      </c>
      <c r="D340" s="1" t="s">
        <v>104</v>
      </c>
      <c r="E340" s="1" t="s">
        <v>806</v>
      </c>
      <c r="F340" s="1" t="s">
        <v>13</v>
      </c>
      <c r="G340" s="1" t="s">
        <v>105</v>
      </c>
      <c r="H340" s="1" t="s">
        <v>30</v>
      </c>
      <c r="I340" s="1">
        <v>64</v>
      </c>
      <c r="J340" s="1" t="s">
        <v>16</v>
      </c>
      <c r="K340" s="1" t="s">
        <v>61</v>
      </c>
    </row>
    <row r="341" spans="2:11" ht="14.25" customHeight="1" x14ac:dyDescent="0.35">
      <c r="B341" s="2">
        <v>44793</v>
      </c>
      <c r="C341" s="1" t="s">
        <v>623</v>
      </c>
      <c r="D341" s="1" t="s">
        <v>472</v>
      </c>
      <c r="E341" s="1" t="s">
        <v>473</v>
      </c>
      <c r="F341" s="1" t="s">
        <v>21</v>
      </c>
      <c r="G341" s="1" t="s">
        <v>474</v>
      </c>
      <c r="H341" s="1" t="s">
        <v>15</v>
      </c>
      <c r="I341" s="1">
        <v>51</v>
      </c>
      <c r="J341" s="1" t="s">
        <v>16</v>
      </c>
      <c r="K341" s="1" t="s">
        <v>25</v>
      </c>
    </row>
    <row r="342" spans="2:11" ht="14.25" customHeight="1" x14ac:dyDescent="0.35">
      <c r="B342" s="2">
        <v>44793</v>
      </c>
      <c r="C342" s="1" t="s">
        <v>624</v>
      </c>
      <c r="D342" s="1" t="s">
        <v>272</v>
      </c>
      <c r="E342" s="1" t="s">
        <v>820</v>
      </c>
      <c r="F342" s="1" t="s">
        <v>13</v>
      </c>
      <c r="G342" s="1" t="s">
        <v>273</v>
      </c>
      <c r="H342" s="1" t="s">
        <v>15</v>
      </c>
      <c r="I342" s="1">
        <v>44</v>
      </c>
      <c r="J342" s="1" t="s">
        <v>42</v>
      </c>
      <c r="K342" s="1" t="s">
        <v>47</v>
      </c>
    </row>
    <row r="343" spans="2:11" ht="14.25" customHeight="1" x14ac:dyDescent="0.35">
      <c r="B343" s="2">
        <v>44795</v>
      </c>
      <c r="C343" s="1" t="s">
        <v>625</v>
      </c>
      <c r="D343" s="1" t="s">
        <v>169</v>
      </c>
      <c r="E343" s="1" t="s">
        <v>170</v>
      </c>
      <c r="F343" s="1" t="s">
        <v>13</v>
      </c>
      <c r="G343" s="1" t="s">
        <v>171</v>
      </c>
      <c r="H343" s="1" t="s">
        <v>30</v>
      </c>
      <c r="I343" s="1">
        <v>29</v>
      </c>
      <c r="J343" s="1" t="s">
        <v>24</v>
      </c>
      <c r="K343" s="1" t="s">
        <v>25</v>
      </c>
    </row>
    <row r="344" spans="2:11" ht="14.25" customHeight="1" x14ac:dyDescent="0.35">
      <c r="B344" s="2">
        <v>44795</v>
      </c>
      <c r="C344" s="1" t="s">
        <v>626</v>
      </c>
      <c r="D344" s="1" t="s">
        <v>476</v>
      </c>
      <c r="E344" s="1" t="s">
        <v>832</v>
      </c>
      <c r="F344" s="1" t="s">
        <v>13</v>
      </c>
      <c r="G344" s="1" t="s">
        <v>477</v>
      </c>
      <c r="H344" s="1" t="s">
        <v>15</v>
      </c>
      <c r="I344" s="1">
        <v>64</v>
      </c>
      <c r="J344" s="1" t="s">
        <v>31</v>
      </c>
      <c r="K344" s="1" t="s">
        <v>25</v>
      </c>
    </row>
    <row r="345" spans="2:11" ht="14.25" customHeight="1" x14ac:dyDescent="0.35">
      <c r="B345" s="2">
        <v>44796</v>
      </c>
      <c r="C345" s="1" t="s">
        <v>627</v>
      </c>
      <c r="D345" s="1" t="s">
        <v>628</v>
      </c>
      <c r="E345" s="1" t="s">
        <v>629</v>
      </c>
      <c r="F345" s="1" t="s">
        <v>13</v>
      </c>
      <c r="G345" s="1" t="s">
        <v>630</v>
      </c>
      <c r="H345" s="1" t="s">
        <v>23</v>
      </c>
      <c r="I345" s="1">
        <v>41</v>
      </c>
      <c r="J345" s="1" t="s">
        <v>52</v>
      </c>
      <c r="K345" s="1" t="s">
        <v>25</v>
      </c>
    </row>
    <row r="346" spans="2:11" ht="14.25" customHeight="1" x14ac:dyDescent="0.35">
      <c r="B346" s="2">
        <v>44797</v>
      </c>
      <c r="C346" s="1" t="s">
        <v>631</v>
      </c>
      <c r="D346" s="1" t="s">
        <v>141</v>
      </c>
      <c r="E346" s="1" t="s">
        <v>142</v>
      </c>
      <c r="F346" s="1" t="s">
        <v>21</v>
      </c>
      <c r="G346" s="1" t="s">
        <v>143</v>
      </c>
      <c r="H346" s="1" t="s">
        <v>15</v>
      </c>
      <c r="I346" s="1">
        <v>34</v>
      </c>
      <c r="J346" s="1" t="s">
        <v>31</v>
      </c>
      <c r="K346" s="1" t="s">
        <v>32</v>
      </c>
    </row>
    <row r="347" spans="2:11" ht="14.25" customHeight="1" x14ac:dyDescent="0.35">
      <c r="B347" s="2">
        <v>44797</v>
      </c>
      <c r="C347" s="1" t="s">
        <v>632</v>
      </c>
      <c r="D347" s="1" t="s">
        <v>121</v>
      </c>
      <c r="E347" s="1" t="s">
        <v>122</v>
      </c>
      <c r="F347" s="1" t="s">
        <v>13</v>
      </c>
      <c r="G347" s="1" t="s">
        <v>123</v>
      </c>
      <c r="H347" s="1" t="s">
        <v>15</v>
      </c>
      <c r="I347" s="1">
        <v>59</v>
      </c>
      <c r="J347" s="1" t="s">
        <v>52</v>
      </c>
      <c r="K347" s="1" t="s">
        <v>61</v>
      </c>
    </row>
    <row r="348" spans="2:11" ht="14.25" customHeight="1" x14ac:dyDescent="0.35">
      <c r="B348" s="2">
        <v>44798</v>
      </c>
      <c r="C348" s="1" t="s">
        <v>633</v>
      </c>
      <c r="D348" s="1" t="s">
        <v>462</v>
      </c>
      <c r="E348" s="1" t="s">
        <v>831</v>
      </c>
      <c r="F348" s="1" t="s">
        <v>13</v>
      </c>
      <c r="G348" s="1" t="s">
        <v>463</v>
      </c>
      <c r="H348" s="1" t="s">
        <v>23</v>
      </c>
      <c r="I348" s="1">
        <v>48</v>
      </c>
      <c r="J348" s="1" t="s">
        <v>52</v>
      </c>
      <c r="K348" s="1" t="s">
        <v>25</v>
      </c>
    </row>
    <row r="349" spans="2:11" ht="14.25" customHeight="1" x14ac:dyDescent="0.35">
      <c r="B349" s="2">
        <v>44798</v>
      </c>
      <c r="C349" s="1" t="s">
        <v>634</v>
      </c>
      <c r="D349" s="1" t="s">
        <v>149</v>
      </c>
      <c r="E349" s="1" t="s">
        <v>810</v>
      </c>
      <c r="F349" s="1" t="s">
        <v>21</v>
      </c>
      <c r="G349" s="1" t="s">
        <v>150</v>
      </c>
      <c r="H349" s="1" t="s">
        <v>15</v>
      </c>
      <c r="I349" s="1">
        <v>68</v>
      </c>
      <c r="J349" s="1" t="s">
        <v>24</v>
      </c>
      <c r="K349" s="1" t="s">
        <v>61</v>
      </c>
    </row>
    <row r="350" spans="2:11" ht="14.25" customHeight="1" x14ac:dyDescent="0.35">
      <c r="B350" s="2">
        <v>44799</v>
      </c>
      <c r="C350" s="1" t="s">
        <v>635</v>
      </c>
      <c r="D350" s="1" t="s">
        <v>244</v>
      </c>
      <c r="E350" s="1" t="s">
        <v>245</v>
      </c>
      <c r="F350" s="1" t="s">
        <v>21</v>
      </c>
      <c r="G350" s="1" t="s">
        <v>246</v>
      </c>
      <c r="H350" s="1" t="s">
        <v>15</v>
      </c>
      <c r="I350" s="1">
        <v>29</v>
      </c>
      <c r="J350" s="1" t="s">
        <v>66</v>
      </c>
      <c r="K350" s="1" t="s">
        <v>61</v>
      </c>
    </row>
    <row r="351" spans="2:11" ht="14.25" customHeight="1" x14ac:dyDescent="0.35">
      <c r="B351" s="2">
        <v>44800</v>
      </c>
      <c r="C351" s="1" t="s">
        <v>636</v>
      </c>
      <c r="D351" s="1" t="s">
        <v>324</v>
      </c>
      <c r="E351" s="1" t="s">
        <v>824</v>
      </c>
      <c r="F351" s="1" t="s">
        <v>21</v>
      </c>
      <c r="G351" s="1" t="s">
        <v>325</v>
      </c>
      <c r="H351" s="1" t="s">
        <v>30</v>
      </c>
      <c r="I351" s="1">
        <v>50</v>
      </c>
      <c r="J351" s="1" t="s">
        <v>66</v>
      </c>
      <c r="K351" s="1" t="s">
        <v>32</v>
      </c>
    </row>
    <row r="352" spans="2:11" ht="14.25" customHeight="1" x14ac:dyDescent="0.35">
      <c r="B352" s="2">
        <v>44800</v>
      </c>
      <c r="C352" s="1" t="s">
        <v>637</v>
      </c>
      <c r="D352" s="1" t="s">
        <v>196</v>
      </c>
      <c r="E352" s="1" t="s">
        <v>197</v>
      </c>
      <c r="F352" s="1" t="s">
        <v>13</v>
      </c>
      <c r="G352" s="1" t="s">
        <v>198</v>
      </c>
      <c r="H352" s="1" t="s">
        <v>30</v>
      </c>
      <c r="I352" s="1">
        <v>39</v>
      </c>
      <c r="J352" s="1" t="s">
        <v>66</v>
      </c>
      <c r="K352" s="1" t="s">
        <v>32</v>
      </c>
    </row>
    <row r="353" spans="2:11" ht="14.25" customHeight="1" x14ac:dyDescent="0.35">
      <c r="B353" s="2">
        <v>44800</v>
      </c>
      <c r="C353" s="1" t="s">
        <v>638</v>
      </c>
      <c r="D353" s="1" t="s">
        <v>327</v>
      </c>
      <c r="E353" s="1" t="s">
        <v>328</v>
      </c>
      <c r="F353" s="1" t="s">
        <v>13</v>
      </c>
      <c r="G353" s="1" t="s">
        <v>329</v>
      </c>
      <c r="H353" s="1" t="s">
        <v>23</v>
      </c>
      <c r="I353" s="1">
        <v>37</v>
      </c>
      <c r="J353" s="1" t="s">
        <v>16</v>
      </c>
      <c r="K353" s="1" t="s">
        <v>17</v>
      </c>
    </row>
    <row r="354" spans="2:11" ht="14.25" customHeight="1" x14ac:dyDescent="0.35">
      <c r="B354" s="2">
        <v>44801</v>
      </c>
      <c r="C354" s="1" t="s">
        <v>639</v>
      </c>
      <c r="D354" s="1" t="s">
        <v>427</v>
      </c>
      <c r="E354" s="1" t="s">
        <v>828</v>
      </c>
      <c r="F354" s="1" t="s">
        <v>21</v>
      </c>
      <c r="G354" s="1" t="s">
        <v>428</v>
      </c>
      <c r="H354" s="1" t="s">
        <v>15</v>
      </c>
      <c r="I354" s="1">
        <v>48</v>
      </c>
      <c r="J354" s="1" t="s">
        <v>66</v>
      </c>
      <c r="K354" s="1" t="s">
        <v>17</v>
      </c>
    </row>
    <row r="355" spans="2:11" ht="14.25" customHeight="1" x14ac:dyDescent="0.35">
      <c r="B355" s="2">
        <v>44801</v>
      </c>
      <c r="C355" s="1" t="s">
        <v>640</v>
      </c>
      <c r="D355" s="1" t="s">
        <v>169</v>
      </c>
      <c r="E355" s="1" t="s">
        <v>170</v>
      </c>
      <c r="F355" s="1" t="s">
        <v>13</v>
      </c>
      <c r="G355" s="1" t="s">
        <v>171</v>
      </c>
      <c r="H355" s="1" t="s">
        <v>30</v>
      </c>
      <c r="I355" s="1">
        <v>29</v>
      </c>
      <c r="J355" s="1" t="s">
        <v>66</v>
      </c>
      <c r="K355" s="1" t="s">
        <v>61</v>
      </c>
    </row>
    <row r="356" spans="2:11" ht="14.25" customHeight="1" x14ac:dyDescent="0.35">
      <c r="B356" s="2">
        <v>44801</v>
      </c>
      <c r="C356" s="1" t="s">
        <v>641</v>
      </c>
      <c r="D356" s="1" t="s">
        <v>107</v>
      </c>
      <c r="E356" s="1" t="s">
        <v>807</v>
      </c>
      <c r="F356" s="1" t="s">
        <v>21</v>
      </c>
      <c r="G356" s="1" t="s">
        <v>108</v>
      </c>
      <c r="H356" s="1" t="s">
        <v>15</v>
      </c>
      <c r="I356" s="1">
        <v>73</v>
      </c>
      <c r="J356" s="1" t="s">
        <v>151</v>
      </c>
      <c r="K356" s="1" t="s">
        <v>17</v>
      </c>
    </row>
    <row r="357" spans="2:11" ht="14.25" customHeight="1" x14ac:dyDescent="0.35">
      <c r="B357" s="2">
        <v>44802</v>
      </c>
      <c r="C357" s="1" t="s">
        <v>642</v>
      </c>
      <c r="D357" s="1" t="s">
        <v>281</v>
      </c>
      <c r="E357" s="1" t="s">
        <v>282</v>
      </c>
      <c r="F357" s="1" t="s">
        <v>21</v>
      </c>
      <c r="G357" s="1" t="s">
        <v>283</v>
      </c>
      <c r="H357" s="1" t="s">
        <v>30</v>
      </c>
      <c r="I357" s="1">
        <v>40</v>
      </c>
      <c r="J357" s="1" t="s">
        <v>57</v>
      </c>
      <c r="K357" s="1" t="s">
        <v>25</v>
      </c>
    </row>
    <row r="358" spans="2:11" ht="14.25" customHeight="1" x14ac:dyDescent="0.35">
      <c r="B358" s="2">
        <v>44803</v>
      </c>
      <c r="C358" s="1" t="s">
        <v>643</v>
      </c>
      <c r="D358" s="1" t="s">
        <v>223</v>
      </c>
      <c r="E358" s="1" t="s">
        <v>224</v>
      </c>
      <c r="F358" s="1" t="s">
        <v>21</v>
      </c>
      <c r="G358" s="1" t="s">
        <v>225</v>
      </c>
      <c r="H358" s="1" t="s">
        <v>30</v>
      </c>
      <c r="I358" s="1">
        <v>68</v>
      </c>
      <c r="J358" s="1" t="s">
        <v>16</v>
      </c>
      <c r="K358" s="1" t="s">
        <v>25</v>
      </c>
    </row>
    <row r="359" spans="2:11" ht="14.25" customHeight="1" x14ac:dyDescent="0.35">
      <c r="B359" s="2">
        <v>44805</v>
      </c>
      <c r="C359" s="1" t="s">
        <v>644</v>
      </c>
      <c r="D359" s="1" t="s">
        <v>205</v>
      </c>
      <c r="E359" s="1" t="s">
        <v>206</v>
      </c>
      <c r="F359" s="1" t="s">
        <v>13</v>
      </c>
      <c r="G359" s="1" t="s">
        <v>207</v>
      </c>
      <c r="H359" s="1" t="s">
        <v>15</v>
      </c>
      <c r="I359" s="1">
        <v>39</v>
      </c>
      <c r="J359" s="1" t="s">
        <v>31</v>
      </c>
      <c r="K359" s="1" t="s">
        <v>25</v>
      </c>
    </row>
    <row r="360" spans="2:11" ht="14.25" customHeight="1" x14ac:dyDescent="0.35">
      <c r="B360" s="2">
        <v>44808</v>
      </c>
      <c r="C360" s="1" t="s">
        <v>645</v>
      </c>
      <c r="D360" s="1" t="s">
        <v>590</v>
      </c>
      <c r="E360" s="1" t="s">
        <v>591</v>
      </c>
      <c r="F360" s="1" t="s">
        <v>13</v>
      </c>
      <c r="G360" s="1" t="s">
        <v>592</v>
      </c>
      <c r="H360" s="1" t="s">
        <v>30</v>
      </c>
      <c r="I360" s="1">
        <v>44</v>
      </c>
      <c r="J360" s="1" t="s">
        <v>66</v>
      </c>
      <c r="K360" s="1" t="s">
        <v>25</v>
      </c>
    </row>
    <row r="361" spans="2:11" ht="14.25" customHeight="1" x14ac:dyDescent="0.35">
      <c r="B361" s="2">
        <v>44808</v>
      </c>
      <c r="C361" s="1" t="s">
        <v>646</v>
      </c>
      <c r="D361" s="1" t="s">
        <v>647</v>
      </c>
      <c r="E361" s="1" t="s">
        <v>648</v>
      </c>
      <c r="F361" s="1" t="s">
        <v>21</v>
      </c>
      <c r="G361" s="1" t="s">
        <v>649</v>
      </c>
      <c r="H361" s="1" t="s">
        <v>23</v>
      </c>
      <c r="I361" s="1">
        <v>69</v>
      </c>
      <c r="J361" s="1" t="s">
        <v>42</v>
      </c>
      <c r="K361" s="1" t="s">
        <v>17</v>
      </c>
    </row>
    <row r="362" spans="2:11" ht="14.25" customHeight="1" x14ac:dyDescent="0.35">
      <c r="B362" s="2">
        <v>44808</v>
      </c>
      <c r="C362" s="1" t="s">
        <v>650</v>
      </c>
      <c r="D362" s="1" t="s">
        <v>314</v>
      </c>
      <c r="E362" s="1" t="s">
        <v>315</v>
      </c>
      <c r="F362" s="1" t="s">
        <v>21</v>
      </c>
      <c r="G362" s="1" t="s">
        <v>316</v>
      </c>
      <c r="H362" s="1" t="s">
        <v>23</v>
      </c>
      <c r="I362" s="1">
        <v>28</v>
      </c>
      <c r="J362" s="1" t="s">
        <v>66</v>
      </c>
      <c r="K362" s="1" t="s">
        <v>61</v>
      </c>
    </row>
    <row r="363" spans="2:11" ht="14.25" customHeight="1" x14ac:dyDescent="0.35">
      <c r="B363" s="2">
        <v>44809</v>
      </c>
      <c r="C363" s="1" t="s">
        <v>651</v>
      </c>
      <c r="D363" s="1" t="s">
        <v>443</v>
      </c>
      <c r="E363" s="1" t="s">
        <v>830</v>
      </c>
      <c r="F363" s="1" t="s">
        <v>13</v>
      </c>
      <c r="G363" s="1" t="s">
        <v>444</v>
      </c>
      <c r="H363" s="1" t="s">
        <v>15</v>
      </c>
      <c r="I363" s="1">
        <v>28</v>
      </c>
      <c r="J363" s="1" t="s">
        <v>42</v>
      </c>
      <c r="K363" s="1" t="s">
        <v>25</v>
      </c>
    </row>
    <row r="364" spans="2:11" ht="14.25" customHeight="1" x14ac:dyDescent="0.35">
      <c r="B364" s="2">
        <v>44810</v>
      </c>
      <c r="C364" s="1" t="s">
        <v>652</v>
      </c>
      <c r="D364" s="1" t="s">
        <v>75</v>
      </c>
      <c r="E364" s="1" t="s">
        <v>76</v>
      </c>
      <c r="F364" s="1" t="s">
        <v>21</v>
      </c>
      <c r="G364" s="1" t="s">
        <v>77</v>
      </c>
      <c r="H364" s="1" t="s">
        <v>30</v>
      </c>
      <c r="I364" s="1">
        <v>19</v>
      </c>
      <c r="J364" s="1" t="s">
        <v>167</v>
      </c>
      <c r="K364" s="1" t="s">
        <v>25</v>
      </c>
    </row>
    <row r="365" spans="2:11" ht="14.25" customHeight="1" x14ac:dyDescent="0.35">
      <c r="B365" s="2">
        <v>44810</v>
      </c>
      <c r="C365" s="1" t="s">
        <v>653</v>
      </c>
      <c r="D365" s="1" t="s">
        <v>590</v>
      </c>
      <c r="E365" s="1" t="s">
        <v>591</v>
      </c>
      <c r="F365" s="1" t="s">
        <v>13</v>
      </c>
      <c r="G365" s="1" t="s">
        <v>592</v>
      </c>
      <c r="H365" s="1" t="s">
        <v>30</v>
      </c>
      <c r="I365" s="1">
        <v>44</v>
      </c>
      <c r="J365" s="1" t="s">
        <v>66</v>
      </c>
      <c r="K365" s="1" t="s">
        <v>25</v>
      </c>
    </row>
    <row r="366" spans="2:11" ht="14.25" customHeight="1" x14ac:dyDescent="0.35">
      <c r="B366" s="2">
        <v>44810</v>
      </c>
      <c r="C366" s="1" t="s">
        <v>654</v>
      </c>
      <c r="D366" s="1" t="s">
        <v>196</v>
      </c>
      <c r="E366" s="1" t="s">
        <v>197</v>
      </c>
      <c r="F366" s="1" t="s">
        <v>13</v>
      </c>
      <c r="G366" s="1" t="s">
        <v>198</v>
      </c>
      <c r="H366" s="1" t="s">
        <v>30</v>
      </c>
      <c r="I366" s="1">
        <v>39</v>
      </c>
      <c r="J366" s="1" t="s">
        <v>42</v>
      </c>
      <c r="K366" s="1" t="s">
        <v>25</v>
      </c>
    </row>
    <row r="367" spans="2:11" ht="14.25" customHeight="1" x14ac:dyDescent="0.35">
      <c r="B367" s="2">
        <v>44811</v>
      </c>
      <c r="C367" s="1" t="s">
        <v>655</v>
      </c>
      <c r="D367" s="1" t="s">
        <v>361</v>
      </c>
      <c r="E367" s="1" t="s">
        <v>362</v>
      </c>
      <c r="F367" s="1" t="s">
        <v>21</v>
      </c>
      <c r="G367" s="1" t="s">
        <v>363</v>
      </c>
      <c r="H367" s="1" t="s">
        <v>15</v>
      </c>
      <c r="I367" s="1">
        <v>66</v>
      </c>
      <c r="J367" s="1" t="s">
        <v>42</v>
      </c>
      <c r="K367" s="1" t="s">
        <v>47</v>
      </c>
    </row>
    <row r="368" spans="2:11" ht="14.25" customHeight="1" x14ac:dyDescent="0.35">
      <c r="B368" s="2">
        <v>44811</v>
      </c>
      <c r="C368" s="1" t="s">
        <v>656</v>
      </c>
      <c r="D368" s="1" t="s">
        <v>75</v>
      </c>
      <c r="E368" s="1" t="s">
        <v>76</v>
      </c>
      <c r="F368" s="1" t="s">
        <v>21</v>
      </c>
      <c r="G368" s="1" t="s">
        <v>77</v>
      </c>
      <c r="H368" s="1" t="s">
        <v>30</v>
      </c>
      <c r="I368" s="1">
        <v>19</v>
      </c>
      <c r="J368" s="1" t="s">
        <v>31</v>
      </c>
      <c r="K368" s="1" t="s">
        <v>25</v>
      </c>
    </row>
    <row r="369" spans="2:11" ht="14.25" customHeight="1" x14ac:dyDescent="0.35">
      <c r="B369" s="2">
        <v>44811</v>
      </c>
      <c r="C369" s="1" t="s">
        <v>657</v>
      </c>
      <c r="D369" s="1" t="s">
        <v>388</v>
      </c>
      <c r="E369" s="1" t="s">
        <v>389</v>
      </c>
      <c r="F369" s="1" t="s">
        <v>13</v>
      </c>
      <c r="G369" s="1" t="s">
        <v>390</v>
      </c>
      <c r="H369" s="1" t="s">
        <v>23</v>
      </c>
      <c r="I369" s="1">
        <v>76</v>
      </c>
      <c r="J369" s="1" t="s">
        <v>57</v>
      </c>
      <c r="K369" s="1" t="s">
        <v>47</v>
      </c>
    </row>
    <row r="370" spans="2:11" ht="14.25" customHeight="1" x14ac:dyDescent="0.35">
      <c r="B370" s="2">
        <v>44811</v>
      </c>
      <c r="C370" s="1" t="s">
        <v>658</v>
      </c>
      <c r="D370" s="1" t="s">
        <v>327</v>
      </c>
      <c r="E370" s="1" t="s">
        <v>328</v>
      </c>
      <c r="F370" s="1" t="s">
        <v>13</v>
      </c>
      <c r="G370" s="1" t="s">
        <v>329</v>
      </c>
      <c r="H370" s="1" t="s">
        <v>23</v>
      </c>
      <c r="I370" s="1">
        <v>37</v>
      </c>
      <c r="J370" s="1" t="s">
        <v>16</v>
      </c>
      <c r="K370" s="1" t="s">
        <v>47</v>
      </c>
    </row>
    <row r="371" spans="2:11" ht="14.25" customHeight="1" x14ac:dyDescent="0.35">
      <c r="B371" s="2">
        <v>44812</v>
      </c>
      <c r="C371" s="1" t="s">
        <v>659</v>
      </c>
      <c r="D371" s="1" t="s">
        <v>314</v>
      </c>
      <c r="E371" s="1" t="s">
        <v>315</v>
      </c>
      <c r="F371" s="1" t="s">
        <v>21</v>
      </c>
      <c r="G371" s="1" t="s">
        <v>316</v>
      </c>
      <c r="H371" s="1" t="s">
        <v>23</v>
      </c>
      <c r="I371" s="1">
        <v>28</v>
      </c>
      <c r="J371" s="1" t="s">
        <v>52</v>
      </c>
      <c r="K371" s="1" t="s">
        <v>25</v>
      </c>
    </row>
    <row r="372" spans="2:11" ht="14.25" customHeight="1" x14ac:dyDescent="0.35">
      <c r="B372" s="2">
        <v>44812</v>
      </c>
      <c r="C372" s="1" t="s">
        <v>660</v>
      </c>
      <c r="D372" s="1" t="s">
        <v>546</v>
      </c>
      <c r="E372" s="1" t="s">
        <v>547</v>
      </c>
      <c r="F372" s="1" t="s">
        <v>21</v>
      </c>
      <c r="G372" s="1" t="s">
        <v>548</v>
      </c>
      <c r="H372" s="1" t="s">
        <v>15</v>
      </c>
      <c r="I372" s="1">
        <v>36</v>
      </c>
      <c r="J372" s="1" t="s">
        <v>52</v>
      </c>
      <c r="K372" s="1" t="s">
        <v>47</v>
      </c>
    </row>
    <row r="373" spans="2:11" ht="14.25" customHeight="1" x14ac:dyDescent="0.35">
      <c r="B373" s="2">
        <v>44813</v>
      </c>
      <c r="C373" s="1" t="s">
        <v>661</v>
      </c>
      <c r="D373" s="1" t="s">
        <v>183</v>
      </c>
      <c r="E373" s="1" t="s">
        <v>184</v>
      </c>
      <c r="F373" s="1" t="s">
        <v>21</v>
      </c>
      <c r="G373" s="1" t="s">
        <v>185</v>
      </c>
      <c r="H373" s="1" t="s">
        <v>15</v>
      </c>
      <c r="I373" s="1">
        <v>25</v>
      </c>
      <c r="J373" s="1" t="s">
        <v>66</v>
      </c>
      <c r="K373" s="1" t="s">
        <v>47</v>
      </c>
    </row>
    <row r="374" spans="2:11" ht="14.25" customHeight="1" x14ac:dyDescent="0.35">
      <c r="B374" s="2">
        <v>44814</v>
      </c>
      <c r="C374" s="1" t="s">
        <v>662</v>
      </c>
      <c r="D374" s="1" t="s">
        <v>462</v>
      </c>
      <c r="E374" s="1" t="s">
        <v>831</v>
      </c>
      <c r="F374" s="1" t="s">
        <v>13</v>
      </c>
      <c r="G374" s="1" t="s">
        <v>463</v>
      </c>
      <c r="H374" s="1" t="s">
        <v>23</v>
      </c>
      <c r="I374" s="1">
        <v>48</v>
      </c>
      <c r="J374" s="1" t="s">
        <v>24</v>
      </c>
      <c r="K374" s="1" t="s">
        <v>47</v>
      </c>
    </row>
    <row r="375" spans="2:11" ht="14.25" customHeight="1" x14ac:dyDescent="0.35">
      <c r="B375" s="2">
        <v>44815</v>
      </c>
      <c r="C375" s="1" t="s">
        <v>663</v>
      </c>
      <c r="D375" s="1" t="s">
        <v>100</v>
      </c>
      <c r="E375" s="1" t="s">
        <v>101</v>
      </c>
      <c r="F375" s="1" t="s">
        <v>13</v>
      </c>
      <c r="G375" s="1" t="s">
        <v>102</v>
      </c>
      <c r="H375" s="1" t="s">
        <v>15</v>
      </c>
      <c r="I375" s="1">
        <v>59</v>
      </c>
      <c r="J375" s="1" t="s">
        <v>24</v>
      </c>
      <c r="K375" s="1" t="s">
        <v>47</v>
      </c>
    </row>
    <row r="376" spans="2:11" ht="14.25" customHeight="1" x14ac:dyDescent="0.35">
      <c r="B376" s="2">
        <v>44816</v>
      </c>
      <c r="C376" s="1" t="s">
        <v>664</v>
      </c>
      <c r="D376" s="1" t="s">
        <v>259</v>
      </c>
      <c r="E376" s="1" t="s">
        <v>818</v>
      </c>
      <c r="F376" s="1" t="s">
        <v>21</v>
      </c>
      <c r="G376" s="1" t="s">
        <v>260</v>
      </c>
      <c r="H376" s="1" t="s">
        <v>30</v>
      </c>
      <c r="I376" s="1">
        <v>45</v>
      </c>
      <c r="J376" s="1" t="s">
        <v>16</v>
      </c>
      <c r="K376" s="1" t="s">
        <v>32</v>
      </c>
    </row>
    <row r="377" spans="2:11" ht="14.25" customHeight="1" x14ac:dyDescent="0.35">
      <c r="B377" s="2">
        <v>44816</v>
      </c>
      <c r="C377" s="1" t="s">
        <v>665</v>
      </c>
      <c r="D377" s="1" t="s">
        <v>59</v>
      </c>
      <c r="E377" s="1" t="s">
        <v>800</v>
      </c>
      <c r="F377" s="1" t="s">
        <v>13</v>
      </c>
      <c r="G377" s="1" t="s">
        <v>60</v>
      </c>
      <c r="H377" s="1" t="s">
        <v>15</v>
      </c>
      <c r="I377" s="1">
        <v>48</v>
      </c>
      <c r="J377" s="1" t="s">
        <v>52</v>
      </c>
      <c r="K377" s="1" t="s">
        <v>61</v>
      </c>
    </row>
    <row r="378" spans="2:11" ht="14.25" customHeight="1" x14ac:dyDescent="0.35">
      <c r="B378" s="2">
        <v>44816</v>
      </c>
      <c r="C378" s="1" t="s">
        <v>666</v>
      </c>
      <c r="D378" s="1" t="s">
        <v>71</v>
      </c>
      <c r="E378" s="1" t="s">
        <v>802</v>
      </c>
      <c r="F378" s="1" t="s">
        <v>21</v>
      </c>
      <c r="G378" s="1" t="s">
        <v>72</v>
      </c>
      <c r="H378" s="1" t="s">
        <v>23</v>
      </c>
      <c r="I378" s="1">
        <v>54</v>
      </c>
      <c r="J378" s="1" t="s">
        <v>16</v>
      </c>
      <c r="K378" s="1" t="s">
        <v>47</v>
      </c>
    </row>
    <row r="379" spans="2:11" ht="14.25" customHeight="1" x14ac:dyDescent="0.35">
      <c r="B379" s="2">
        <v>44817</v>
      </c>
      <c r="C379" s="1" t="s">
        <v>667</v>
      </c>
      <c r="D379" s="1" t="s">
        <v>59</v>
      </c>
      <c r="E379" s="1" t="s">
        <v>800</v>
      </c>
      <c r="F379" s="1" t="s">
        <v>13</v>
      </c>
      <c r="G379" s="1" t="s">
        <v>60</v>
      </c>
      <c r="H379" s="1" t="s">
        <v>15</v>
      </c>
      <c r="I379" s="1">
        <v>48</v>
      </c>
      <c r="J379" s="1" t="s">
        <v>42</v>
      </c>
      <c r="K379" s="1" t="s">
        <v>17</v>
      </c>
    </row>
    <row r="380" spans="2:11" ht="14.25" customHeight="1" x14ac:dyDescent="0.35">
      <c r="B380" s="2">
        <v>44819</v>
      </c>
      <c r="C380" s="1" t="s">
        <v>668</v>
      </c>
      <c r="D380" s="1" t="s">
        <v>275</v>
      </c>
      <c r="E380" s="1" t="s">
        <v>276</v>
      </c>
      <c r="F380" s="1" t="s">
        <v>13</v>
      </c>
      <c r="G380" s="1" t="s">
        <v>277</v>
      </c>
      <c r="H380" s="1" t="s">
        <v>30</v>
      </c>
      <c r="I380" s="1">
        <v>64</v>
      </c>
      <c r="J380" s="1" t="s">
        <v>31</v>
      </c>
      <c r="K380" s="1" t="s">
        <v>17</v>
      </c>
    </row>
    <row r="381" spans="2:11" ht="14.25" customHeight="1" x14ac:dyDescent="0.35">
      <c r="B381" s="2">
        <v>44820</v>
      </c>
      <c r="C381" s="1" t="s">
        <v>669</v>
      </c>
      <c r="D381" s="1" t="s">
        <v>567</v>
      </c>
      <c r="E381" s="1" t="s">
        <v>568</v>
      </c>
      <c r="F381" s="1" t="s">
        <v>13</v>
      </c>
      <c r="G381" s="1" t="s">
        <v>569</v>
      </c>
      <c r="H381" s="1" t="s">
        <v>15</v>
      </c>
      <c r="I381" s="1">
        <v>34</v>
      </c>
      <c r="J381" s="1" t="s">
        <v>42</v>
      </c>
      <c r="K381" s="1" t="s">
        <v>47</v>
      </c>
    </row>
    <row r="382" spans="2:11" ht="14.25" customHeight="1" x14ac:dyDescent="0.35">
      <c r="B382" s="2">
        <v>44821</v>
      </c>
      <c r="C382" s="1" t="s">
        <v>670</v>
      </c>
      <c r="D382" s="1" t="s">
        <v>118</v>
      </c>
      <c r="E382" s="1" t="s">
        <v>809</v>
      </c>
      <c r="F382" s="1" t="s">
        <v>21</v>
      </c>
      <c r="G382" s="1" t="s">
        <v>119</v>
      </c>
      <c r="H382" s="1" t="s">
        <v>30</v>
      </c>
      <c r="I382" s="1">
        <v>19</v>
      </c>
      <c r="J382" s="1" t="s">
        <v>31</v>
      </c>
      <c r="K382" s="1" t="s">
        <v>61</v>
      </c>
    </row>
    <row r="383" spans="2:11" ht="14.25" customHeight="1" x14ac:dyDescent="0.35">
      <c r="B383" s="2">
        <v>44821</v>
      </c>
      <c r="C383" s="1" t="s">
        <v>671</v>
      </c>
      <c r="D383" s="1" t="s">
        <v>75</v>
      </c>
      <c r="E383" s="1" t="s">
        <v>76</v>
      </c>
      <c r="F383" s="1" t="s">
        <v>21</v>
      </c>
      <c r="G383" s="1" t="s">
        <v>77</v>
      </c>
      <c r="H383" s="1" t="s">
        <v>30</v>
      </c>
      <c r="I383" s="1">
        <v>19</v>
      </c>
      <c r="J383" s="1" t="s">
        <v>16</v>
      </c>
      <c r="K383" s="1" t="s">
        <v>47</v>
      </c>
    </row>
    <row r="384" spans="2:11" ht="14.25" customHeight="1" x14ac:dyDescent="0.35">
      <c r="B384" s="2">
        <v>44821</v>
      </c>
      <c r="C384" s="1" t="s">
        <v>672</v>
      </c>
      <c r="D384" s="1" t="s">
        <v>349</v>
      </c>
      <c r="E384" s="1" t="s">
        <v>350</v>
      </c>
      <c r="F384" s="1" t="s">
        <v>13</v>
      </c>
      <c r="G384" s="1" t="s">
        <v>351</v>
      </c>
      <c r="H384" s="1" t="s">
        <v>15</v>
      </c>
      <c r="I384" s="1">
        <v>50</v>
      </c>
      <c r="J384" s="1" t="s">
        <v>151</v>
      </c>
      <c r="K384" s="1" t="s">
        <v>25</v>
      </c>
    </row>
    <row r="385" spans="2:11" ht="14.25" customHeight="1" x14ac:dyDescent="0.35">
      <c r="B385" s="2">
        <v>44821</v>
      </c>
      <c r="C385" s="1" t="s">
        <v>673</v>
      </c>
      <c r="D385" s="1" t="s">
        <v>518</v>
      </c>
      <c r="E385" s="1" t="s">
        <v>519</v>
      </c>
      <c r="F385" s="1" t="s">
        <v>13</v>
      </c>
      <c r="G385" s="1" t="s">
        <v>520</v>
      </c>
      <c r="H385" s="1" t="s">
        <v>30</v>
      </c>
      <c r="I385" s="1">
        <v>74</v>
      </c>
      <c r="J385" s="1" t="s">
        <v>66</v>
      </c>
      <c r="K385" s="1" t="s">
        <v>47</v>
      </c>
    </row>
    <row r="386" spans="2:11" ht="14.25" customHeight="1" x14ac:dyDescent="0.35">
      <c r="B386" s="2">
        <v>44822</v>
      </c>
      <c r="C386" s="1" t="s">
        <v>674</v>
      </c>
      <c r="D386" s="1" t="s">
        <v>68</v>
      </c>
      <c r="E386" s="1" t="s">
        <v>801</v>
      </c>
      <c r="F386" s="1" t="s">
        <v>13</v>
      </c>
      <c r="G386" s="1" t="s">
        <v>69</v>
      </c>
      <c r="H386" s="1" t="s">
        <v>30</v>
      </c>
      <c r="I386" s="1">
        <v>71</v>
      </c>
      <c r="J386" s="1" t="s">
        <v>31</v>
      </c>
      <c r="K386" s="1" t="s">
        <v>25</v>
      </c>
    </row>
    <row r="387" spans="2:11" ht="14.25" customHeight="1" x14ac:dyDescent="0.35">
      <c r="B387" s="2">
        <v>44823</v>
      </c>
      <c r="C387" s="1" t="s">
        <v>675</v>
      </c>
      <c r="D387" s="1" t="s">
        <v>590</v>
      </c>
      <c r="E387" s="1" t="s">
        <v>591</v>
      </c>
      <c r="F387" s="1" t="s">
        <v>13</v>
      </c>
      <c r="G387" s="1" t="s">
        <v>592</v>
      </c>
      <c r="H387" s="1" t="s">
        <v>30</v>
      </c>
      <c r="I387" s="1">
        <v>44</v>
      </c>
      <c r="J387" s="1" t="s">
        <v>42</v>
      </c>
      <c r="K387" s="1" t="s">
        <v>25</v>
      </c>
    </row>
    <row r="388" spans="2:11" ht="14.25" customHeight="1" x14ac:dyDescent="0.35">
      <c r="B388" s="2">
        <v>44823</v>
      </c>
      <c r="C388" s="1" t="s">
        <v>676</v>
      </c>
      <c r="D388" s="1" t="s">
        <v>59</v>
      </c>
      <c r="E388" s="1" t="s">
        <v>800</v>
      </c>
      <c r="F388" s="1" t="s">
        <v>13</v>
      </c>
      <c r="G388" s="1" t="s">
        <v>60</v>
      </c>
      <c r="H388" s="1" t="s">
        <v>15</v>
      </c>
      <c r="I388" s="1">
        <v>48</v>
      </c>
      <c r="J388" s="1" t="s">
        <v>31</v>
      </c>
      <c r="K388" s="1" t="s">
        <v>17</v>
      </c>
    </row>
    <row r="389" spans="2:11" ht="14.25" customHeight="1" x14ac:dyDescent="0.35">
      <c r="B389" s="2">
        <v>44824</v>
      </c>
      <c r="C389" s="1" t="s">
        <v>677</v>
      </c>
      <c r="D389" s="1" t="s">
        <v>272</v>
      </c>
      <c r="E389" s="1" t="s">
        <v>820</v>
      </c>
      <c r="F389" s="1" t="s">
        <v>13</v>
      </c>
      <c r="G389" s="1" t="s">
        <v>273</v>
      </c>
      <c r="H389" s="1" t="s">
        <v>15</v>
      </c>
      <c r="I389" s="1">
        <v>44</v>
      </c>
      <c r="J389" s="1" t="s">
        <v>66</v>
      </c>
      <c r="K389" s="1" t="s">
        <v>17</v>
      </c>
    </row>
    <row r="390" spans="2:11" ht="14.25" customHeight="1" x14ac:dyDescent="0.35">
      <c r="B390" s="2">
        <v>44824</v>
      </c>
      <c r="C390" s="1" t="s">
        <v>678</v>
      </c>
      <c r="D390" s="1" t="s">
        <v>628</v>
      </c>
      <c r="E390" s="1" t="s">
        <v>629</v>
      </c>
      <c r="F390" s="1" t="s">
        <v>13</v>
      </c>
      <c r="G390" s="1" t="s">
        <v>630</v>
      </c>
      <c r="H390" s="1" t="s">
        <v>23</v>
      </c>
      <c r="I390" s="1">
        <v>41</v>
      </c>
      <c r="J390" s="1" t="s">
        <v>52</v>
      </c>
      <c r="K390" s="1" t="s">
        <v>17</v>
      </c>
    </row>
    <row r="391" spans="2:11" ht="14.25" customHeight="1" x14ac:dyDescent="0.35">
      <c r="B391" s="2">
        <v>44826</v>
      </c>
      <c r="C391" s="1" t="s">
        <v>679</v>
      </c>
      <c r="D391" s="1" t="s">
        <v>528</v>
      </c>
      <c r="E391" s="1" t="s">
        <v>529</v>
      </c>
      <c r="F391" s="1" t="s">
        <v>21</v>
      </c>
      <c r="G391" s="1" t="s">
        <v>530</v>
      </c>
      <c r="H391" s="1" t="s">
        <v>15</v>
      </c>
      <c r="I391" s="1">
        <v>50</v>
      </c>
      <c r="J391" s="1" t="s">
        <v>31</v>
      </c>
      <c r="K391" s="1" t="s">
        <v>32</v>
      </c>
    </row>
    <row r="392" spans="2:11" ht="14.25" customHeight="1" x14ac:dyDescent="0.35">
      <c r="B392" s="2">
        <v>44827</v>
      </c>
      <c r="C392" s="1" t="s">
        <v>680</v>
      </c>
      <c r="D392" s="1" t="s">
        <v>59</v>
      </c>
      <c r="E392" s="1" t="s">
        <v>800</v>
      </c>
      <c r="F392" s="1" t="s">
        <v>13</v>
      </c>
      <c r="G392" s="1" t="s">
        <v>60</v>
      </c>
      <c r="H392" s="1" t="s">
        <v>15</v>
      </c>
      <c r="I392" s="1">
        <v>48</v>
      </c>
      <c r="J392" s="1" t="s">
        <v>66</v>
      </c>
      <c r="K392" s="1" t="s">
        <v>47</v>
      </c>
    </row>
    <row r="393" spans="2:11" ht="14.25" customHeight="1" x14ac:dyDescent="0.35">
      <c r="B393" s="2">
        <v>44831</v>
      </c>
      <c r="C393" s="1" t="s">
        <v>681</v>
      </c>
      <c r="D393" s="1" t="s">
        <v>49</v>
      </c>
      <c r="E393" s="1" t="s">
        <v>50</v>
      </c>
      <c r="F393" s="1" t="s">
        <v>13</v>
      </c>
      <c r="G393" s="1" t="s">
        <v>51</v>
      </c>
      <c r="H393" s="1" t="s">
        <v>15</v>
      </c>
      <c r="I393" s="1">
        <v>61</v>
      </c>
      <c r="J393" s="1" t="s">
        <v>57</v>
      </c>
      <c r="K393" s="1" t="s">
        <v>25</v>
      </c>
    </row>
    <row r="394" spans="2:11" ht="14.25" customHeight="1" x14ac:dyDescent="0.35">
      <c r="B394" s="2">
        <v>44831</v>
      </c>
      <c r="C394" s="1" t="s">
        <v>682</v>
      </c>
      <c r="D394" s="1" t="s">
        <v>265</v>
      </c>
      <c r="E394" s="1" t="s">
        <v>266</v>
      </c>
      <c r="F394" s="1" t="s">
        <v>13</v>
      </c>
      <c r="G394" s="1" t="s">
        <v>267</v>
      </c>
      <c r="H394" s="1" t="s">
        <v>15</v>
      </c>
      <c r="I394" s="1">
        <v>72</v>
      </c>
      <c r="J394" s="1" t="s">
        <v>24</v>
      </c>
      <c r="K394" s="1" t="s">
        <v>32</v>
      </c>
    </row>
    <row r="395" spans="2:11" ht="14.25" customHeight="1" x14ac:dyDescent="0.35">
      <c r="B395" s="2">
        <v>44833</v>
      </c>
      <c r="C395" s="1" t="s">
        <v>683</v>
      </c>
      <c r="D395" s="1" t="s">
        <v>482</v>
      </c>
      <c r="E395" s="1" t="s">
        <v>483</v>
      </c>
      <c r="F395" s="1" t="s">
        <v>21</v>
      </c>
      <c r="G395" s="1" t="s">
        <v>484</v>
      </c>
      <c r="H395" s="1" t="s">
        <v>15</v>
      </c>
      <c r="I395" s="1">
        <v>24</v>
      </c>
      <c r="J395" s="1" t="s">
        <v>24</v>
      </c>
      <c r="K395" s="1" t="s">
        <v>32</v>
      </c>
    </row>
    <row r="396" spans="2:11" ht="14.25" customHeight="1" x14ac:dyDescent="0.35">
      <c r="B396" s="2">
        <v>44834</v>
      </c>
      <c r="C396" s="1" t="s">
        <v>684</v>
      </c>
      <c r="D396" s="1" t="s">
        <v>75</v>
      </c>
      <c r="E396" s="1" t="s">
        <v>76</v>
      </c>
      <c r="F396" s="1" t="s">
        <v>21</v>
      </c>
      <c r="G396" s="1" t="s">
        <v>77</v>
      </c>
      <c r="H396" s="1" t="s">
        <v>30</v>
      </c>
      <c r="I396" s="1">
        <v>19</v>
      </c>
      <c r="J396" s="1" t="s">
        <v>66</v>
      </c>
      <c r="K396" s="1" t="s">
        <v>61</v>
      </c>
    </row>
    <row r="397" spans="2:11" ht="14.25" customHeight="1" x14ac:dyDescent="0.35">
      <c r="B397" s="2">
        <v>44835</v>
      </c>
      <c r="C397" s="1" t="s">
        <v>685</v>
      </c>
      <c r="D397" s="1" t="s">
        <v>59</v>
      </c>
      <c r="E397" s="1" t="s">
        <v>800</v>
      </c>
      <c r="F397" s="1" t="s">
        <v>13</v>
      </c>
      <c r="G397" s="1" t="s">
        <v>60</v>
      </c>
      <c r="H397" s="1" t="s">
        <v>15</v>
      </c>
      <c r="I397" s="1">
        <v>48</v>
      </c>
      <c r="J397" s="1" t="s">
        <v>37</v>
      </c>
      <c r="K397" s="1" t="s">
        <v>47</v>
      </c>
    </row>
    <row r="398" spans="2:11" ht="14.25" customHeight="1" x14ac:dyDescent="0.35">
      <c r="B398" s="2">
        <v>44835</v>
      </c>
      <c r="C398" s="1" t="s">
        <v>686</v>
      </c>
      <c r="D398" s="1" t="s">
        <v>145</v>
      </c>
      <c r="E398" s="1" t="s">
        <v>146</v>
      </c>
      <c r="F398" s="1" t="s">
        <v>13</v>
      </c>
      <c r="G398" s="1" t="s">
        <v>147</v>
      </c>
      <c r="H398" s="1" t="s">
        <v>23</v>
      </c>
      <c r="I398" s="1">
        <v>46</v>
      </c>
      <c r="J398" s="1" t="s">
        <v>16</v>
      </c>
      <c r="K398" s="1" t="s">
        <v>32</v>
      </c>
    </row>
    <row r="399" spans="2:11" ht="14.25" customHeight="1" x14ac:dyDescent="0.35">
      <c r="B399" s="2">
        <v>44836</v>
      </c>
      <c r="C399" s="1" t="s">
        <v>687</v>
      </c>
      <c r="D399" s="1" t="s">
        <v>558</v>
      </c>
      <c r="E399" s="1" t="s">
        <v>559</v>
      </c>
      <c r="F399" s="1" t="s">
        <v>13</v>
      </c>
      <c r="G399" s="1" t="s">
        <v>560</v>
      </c>
      <c r="H399" s="1" t="s">
        <v>15</v>
      </c>
      <c r="I399" s="1">
        <v>76</v>
      </c>
      <c r="J399" s="1" t="s">
        <v>66</v>
      </c>
      <c r="K399" s="1" t="s">
        <v>25</v>
      </c>
    </row>
    <row r="400" spans="2:11" ht="14.25" customHeight="1" x14ac:dyDescent="0.35">
      <c r="B400" s="2">
        <v>44838</v>
      </c>
      <c r="C400" s="1" t="s">
        <v>688</v>
      </c>
      <c r="D400" s="1" t="s">
        <v>647</v>
      </c>
      <c r="E400" s="1" t="s">
        <v>648</v>
      </c>
      <c r="F400" s="1" t="s">
        <v>21</v>
      </c>
      <c r="G400" s="1" t="s">
        <v>649</v>
      </c>
      <c r="H400" s="1" t="s">
        <v>23</v>
      </c>
      <c r="I400" s="1">
        <v>69</v>
      </c>
      <c r="J400" s="1" t="s">
        <v>37</v>
      </c>
      <c r="K400" s="1" t="s">
        <v>32</v>
      </c>
    </row>
    <row r="401" spans="2:11" ht="14.25" customHeight="1" x14ac:dyDescent="0.35">
      <c r="B401" s="2">
        <v>44838</v>
      </c>
      <c r="C401" s="1" t="s">
        <v>689</v>
      </c>
      <c r="D401" s="1" t="s">
        <v>430</v>
      </c>
      <c r="E401" s="1" t="s">
        <v>829</v>
      </c>
      <c r="F401" s="1" t="s">
        <v>21</v>
      </c>
      <c r="G401" s="1" t="s">
        <v>431</v>
      </c>
      <c r="H401" s="1" t="s">
        <v>15</v>
      </c>
      <c r="I401" s="1">
        <v>26</v>
      </c>
      <c r="J401" s="1" t="s">
        <v>151</v>
      </c>
      <c r="K401" s="1" t="s">
        <v>47</v>
      </c>
    </row>
    <row r="402" spans="2:11" ht="14.25" customHeight="1" x14ac:dyDescent="0.35">
      <c r="B402" s="2">
        <v>44841</v>
      </c>
      <c r="C402" s="1" t="s">
        <v>690</v>
      </c>
      <c r="D402" s="1" t="s">
        <v>54</v>
      </c>
      <c r="E402" s="1" t="s">
        <v>55</v>
      </c>
      <c r="F402" s="1" t="s">
        <v>21</v>
      </c>
      <c r="G402" s="1" t="s">
        <v>56</v>
      </c>
      <c r="H402" s="1" t="s">
        <v>23</v>
      </c>
      <c r="I402" s="1">
        <v>28</v>
      </c>
      <c r="J402" s="1" t="s">
        <v>42</v>
      </c>
      <c r="K402" s="1" t="s">
        <v>32</v>
      </c>
    </row>
    <row r="403" spans="2:11" ht="14.25" customHeight="1" x14ac:dyDescent="0.35">
      <c r="B403" s="2">
        <v>44841</v>
      </c>
      <c r="C403" s="1" t="s">
        <v>691</v>
      </c>
      <c r="D403" s="1" t="s">
        <v>107</v>
      </c>
      <c r="E403" s="1" t="s">
        <v>807</v>
      </c>
      <c r="F403" s="1" t="s">
        <v>21</v>
      </c>
      <c r="G403" s="1" t="s">
        <v>108</v>
      </c>
      <c r="H403" s="1" t="s">
        <v>15</v>
      </c>
      <c r="I403" s="1">
        <v>73</v>
      </c>
      <c r="J403" s="1" t="s">
        <v>24</v>
      </c>
      <c r="K403" s="1" t="s">
        <v>25</v>
      </c>
    </row>
    <row r="404" spans="2:11" ht="14.25" customHeight="1" x14ac:dyDescent="0.35">
      <c r="B404" s="2">
        <v>44842</v>
      </c>
      <c r="C404" s="1" t="s">
        <v>692</v>
      </c>
      <c r="D404" s="1" t="s">
        <v>165</v>
      </c>
      <c r="E404" s="1" t="s">
        <v>812</v>
      </c>
      <c r="F404" s="1" t="s">
        <v>21</v>
      </c>
      <c r="G404" s="1" t="s">
        <v>166</v>
      </c>
      <c r="H404" s="1" t="s">
        <v>30</v>
      </c>
      <c r="I404" s="1">
        <v>26</v>
      </c>
      <c r="J404" s="1" t="s">
        <v>42</v>
      </c>
      <c r="K404" s="1" t="s">
        <v>32</v>
      </c>
    </row>
    <row r="405" spans="2:11" ht="14.25" customHeight="1" x14ac:dyDescent="0.35">
      <c r="B405" s="2">
        <v>44844</v>
      </c>
      <c r="C405" s="1" t="s">
        <v>693</v>
      </c>
      <c r="D405" s="1" t="s">
        <v>115</v>
      </c>
      <c r="E405" s="1" t="s">
        <v>808</v>
      </c>
      <c r="F405" s="1" t="s">
        <v>13</v>
      </c>
      <c r="G405" s="1" t="s">
        <v>116</v>
      </c>
      <c r="H405" s="1" t="s">
        <v>15</v>
      </c>
      <c r="I405" s="1">
        <v>67</v>
      </c>
      <c r="J405" s="1" t="s">
        <v>42</v>
      </c>
      <c r="K405" s="1" t="s">
        <v>47</v>
      </c>
    </row>
    <row r="406" spans="2:11" ht="14.25" customHeight="1" x14ac:dyDescent="0.35">
      <c r="B406" s="2">
        <v>44845</v>
      </c>
      <c r="C406" s="1" t="s">
        <v>694</v>
      </c>
      <c r="D406" s="1" t="s">
        <v>34</v>
      </c>
      <c r="E406" s="1" t="s">
        <v>35</v>
      </c>
      <c r="F406" s="1" t="s">
        <v>13</v>
      </c>
      <c r="G406" s="1" t="s">
        <v>36</v>
      </c>
      <c r="H406" s="1" t="s">
        <v>23</v>
      </c>
      <c r="I406" s="1">
        <v>61</v>
      </c>
      <c r="J406" s="1" t="s">
        <v>42</v>
      </c>
      <c r="K406" s="1" t="s">
        <v>25</v>
      </c>
    </row>
    <row r="407" spans="2:11" ht="14.25" customHeight="1" x14ac:dyDescent="0.35">
      <c r="B407" s="2">
        <v>44845</v>
      </c>
      <c r="C407" s="1" t="s">
        <v>695</v>
      </c>
      <c r="D407" s="1" t="s">
        <v>125</v>
      </c>
      <c r="E407" s="1" t="s">
        <v>126</v>
      </c>
      <c r="F407" s="1" t="s">
        <v>21</v>
      </c>
      <c r="G407" s="1" t="s">
        <v>127</v>
      </c>
      <c r="H407" s="1" t="s">
        <v>23</v>
      </c>
      <c r="I407" s="1">
        <v>76</v>
      </c>
      <c r="J407" s="1" t="s">
        <v>52</v>
      </c>
      <c r="K407" s="1" t="s">
        <v>17</v>
      </c>
    </row>
    <row r="408" spans="2:11" ht="14.25" customHeight="1" x14ac:dyDescent="0.35">
      <c r="B408" s="2">
        <v>44845</v>
      </c>
      <c r="C408" s="1" t="s">
        <v>696</v>
      </c>
      <c r="D408" s="1" t="s">
        <v>59</v>
      </c>
      <c r="E408" s="1" t="s">
        <v>800</v>
      </c>
      <c r="F408" s="1" t="s">
        <v>13</v>
      </c>
      <c r="G408" s="1" t="s">
        <v>60</v>
      </c>
      <c r="H408" s="1" t="s">
        <v>15</v>
      </c>
      <c r="I408" s="1">
        <v>48</v>
      </c>
      <c r="J408" s="1" t="s">
        <v>16</v>
      </c>
      <c r="K408" s="1" t="s">
        <v>47</v>
      </c>
    </row>
    <row r="409" spans="2:11" ht="14.25" customHeight="1" x14ac:dyDescent="0.35">
      <c r="B409" s="2">
        <v>44845</v>
      </c>
      <c r="C409" s="1" t="s">
        <v>697</v>
      </c>
      <c r="D409" s="1" t="s">
        <v>39</v>
      </c>
      <c r="E409" s="1" t="s">
        <v>40</v>
      </c>
      <c r="F409" s="1" t="s">
        <v>21</v>
      </c>
      <c r="G409" s="1" t="s">
        <v>41</v>
      </c>
      <c r="H409" s="1" t="s">
        <v>15</v>
      </c>
      <c r="I409" s="1">
        <v>48</v>
      </c>
      <c r="J409" s="1" t="s">
        <v>66</v>
      </c>
      <c r="K409" s="1" t="s">
        <v>32</v>
      </c>
    </row>
    <row r="410" spans="2:11" ht="14.25" customHeight="1" x14ac:dyDescent="0.35">
      <c r="B410" s="2">
        <v>44846</v>
      </c>
      <c r="C410" s="1" t="s">
        <v>698</v>
      </c>
      <c r="D410" s="1" t="s">
        <v>44</v>
      </c>
      <c r="E410" s="1" t="s">
        <v>45</v>
      </c>
      <c r="F410" s="1" t="s">
        <v>13</v>
      </c>
      <c r="G410" s="1" t="s">
        <v>46</v>
      </c>
      <c r="H410" s="1" t="s">
        <v>15</v>
      </c>
      <c r="I410" s="1">
        <v>22</v>
      </c>
      <c r="J410" s="1" t="s">
        <v>52</v>
      </c>
      <c r="K410" s="1" t="s">
        <v>47</v>
      </c>
    </row>
    <row r="411" spans="2:11" ht="14.25" customHeight="1" x14ac:dyDescent="0.35">
      <c r="B411" s="2">
        <v>44848</v>
      </c>
      <c r="C411" s="1" t="s">
        <v>699</v>
      </c>
      <c r="D411" s="1" t="s">
        <v>398</v>
      </c>
      <c r="E411" s="1" t="s">
        <v>827</v>
      </c>
      <c r="F411" s="1" t="s">
        <v>21</v>
      </c>
      <c r="G411" s="1" t="s">
        <v>399</v>
      </c>
      <c r="H411" s="1" t="s">
        <v>15</v>
      </c>
      <c r="I411" s="1">
        <v>32</v>
      </c>
      <c r="J411" s="1" t="s">
        <v>66</v>
      </c>
      <c r="K411" s="1" t="s">
        <v>61</v>
      </c>
    </row>
    <row r="412" spans="2:11" ht="14.25" customHeight="1" x14ac:dyDescent="0.35">
      <c r="B412" s="2">
        <v>44849</v>
      </c>
      <c r="C412" s="1" t="s">
        <v>700</v>
      </c>
      <c r="D412" s="1" t="s">
        <v>398</v>
      </c>
      <c r="E412" s="1" t="s">
        <v>827</v>
      </c>
      <c r="F412" s="1" t="s">
        <v>21</v>
      </c>
      <c r="G412" s="1" t="s">
        <v>399</v>
      </c>
      <c r="H412" s="1" t="s">
        <v>15</v>
      </c>
      <c r="I412" s="1">
        <v>32</v>
      </c>
      <c r="J412" s="1" t="s">
        <v>167</v>
      </c>
      <c r="K412" s="1" t="s">
        <v>25</v>
      </c>
    </row>
    <row r="413" spans="2:11" ht="14.25" customHeight="1" x14ac:dyDescent="0.35">
      <c r="B413" s="2">
        <v>44850</v>
      </c>
      <c r="C413" s="1" t="s">
        <v>701</v>
      </c>
      <c r="D413" s="1" t="s">
        <v>59</v>
      </c>
      <c r="E413" s="1" t="s">
        <v>800</v>
      </c>
      <c r="F413" s="1" t="s">
        <v>13</v>
      </c>
      <c r="G413" s="1" t="s">
        <v>60</v>
      </c>
      <c r="H413" s="1" t="s">
        <v>15</v>
      </c>
      <c r="I413" s="1">
        <v>48</v>
      </c>
      <c r="J413" s="1" t="s">
        <v>66</v>
      </c>
      <c r="K413" s="1" t="s">
        <v>25</v>
      </c>
    </row>
    <row r="414" spans="2:11" ht="14.25" customHeight="1" x14ac:dyDescent="0.35">
      <c r="B414" s="2">
        <v>44850</v>
      </c>
      <c r="C414" s="1" t="s">
        <v>702</v>
      </c>
      <c r="D414" s="1" t="s">
        <v>104</v>
      </c>
      <c r="E414" s="1" t="s">
        <v>806</v>
      </c>
      <c r="F414" s="1" t="s">
        <v>13</v>
      </c>
      <c r="G414" s="1" t="s">
        <v>105</v>
      </c>
      <c r="H414" s="1" t="s">
        <v>30</v>
      </c>
      <c r="I414" s="1">
        <v>64</v>
      </c>
      <c r="J414" s="1" t="s">
        <v>42</v>
      </c>
      <c r="K414" s="1" t="s">
        <v>25</v>
      </c>
    </row>
    <row r="415" spans="2:11" ht="14.25" customHeight="1" x14ac:dyDescent="0.35">
      <c r="B415" s="2">
        <v>44851</v>
      </c>
      <c r="C415" s="1" t="s">
        <v>703</v>
      </c>
      <c r="D415" s="1" t="s">
        <v>154</v>
      </c>
      <c r="E415" s="1" t="s">
        <v>155</v>
      </c>
      <c r="F415" s="1" t="s">
        <v>21</v>
      </c>
      <c r="G415" s="1" t="s">
        <v>156</v>
      </c>
      <c r="H415" s="1" t="s">
        <v>23</v>
      </c>
      <c r="I415" s="1">
        <v>68</v>
      </c>
      <c r="J415" s="1" t="s">
        <v>16</v>
      </c>
      <c r="K415" s="1" t="s">
        <v>25</v>
      </c>
    </row>
    <row r="416" spans="2:11" ht="14.25" customHeight="1" x14ac:dyDescent="0.35">
      <c r="B416" s="2">
        <v>44851</v>
      </c>
      <c r="C416" s="1" t="s">
        <v>704</v>
      </c>
      <c r="D416" s="1" t="s">
        <v>327</v>
      </c>
      <c r="E416" s="1" t="s">
        <v>328</v>
      </c>
      <c r="F416" s="1" t="s">
        <v>13</v>
      </c>
      <c r="G416" s="1" t="s">
        <v>329</v>
      </c>
      <c r="H416" s="1" t="s">
        <v>23</v>
      </c>
      <c r="I416" s="1">
        <v>37</v>
      </c>
      <c r="J416" s="1" t="s">
        <v>37</v>
      </c>
      <c r="K416" s="1" t="s">
        <v>32</v>
      </c>
    </row>
    <row r="417" spans="2:11" ht="14.25" customHeight="1" x14ac:dyDescent="0.35">
      <c r="B417" s="2">
        <v>44853</v>
      </c>
      <c r="C417" s="1" t="s">
        <v>705</v>
      </c>
      <c r="D417" s="1" t="s">
        <v>319</v>
      </c>
      <c r="E417" s="1" t="s">
        <v>823</v>
      </c>
      <c r="F417" s="1" t="s">
        <v>21</v>
      </c>
      <c r="G417" s="1" t="s">
        <v>320</v>
      </c>
      <c r="H417" s="1" t="s">
        <v>30</v>
      </c>
      <c r="I417" s="1">
        <v>45</v>
      </c>
      <c r="J417" s="1" t="s">
        <v>42</v>
      </c>
      <c r="K417" s="1" t="s">
        <v>47</v>
      </c>
    </row>
    <row r="418" spans="2:11" ht="14.25" customHeight="1" x14ac:dyDescent="0.35">
      <c r="B418" s="2">
        <v>44853</v>
      </c>
      <c r="C418" s="1" t="s">
        <v>706</v>
      </c>
      <c r="D418" s="1" t="s">
        <v>79</v>
      </c>
      <c r="E418" s="1" t="s">
        <v>80</v>
      </c>
      <c r="F418" s="1" t="s">
        <v>21</v>
      </c>
      <c r="G418" s="1" t="s">
        <v>81</v>
      </c>
      <c r="H418" s="1" t="s">
        <v>23</v>
      </c>
      <c r="I418" s="1">
        <v>61</v>
      </c>
      <c r="J418" s="1" t="s">
        <v>24</v>
      </c>
      <c r="K418" s="1" t="s">
        <v>47</v>
      </c>
    </row>
    <row r="419" spans="2:11" ht="14.25" customHeight="1" x14ac:dyDescent="0.35">
      <c r="B419" s="2">
        <v>44853</v>
      </c>
      <c r="C419" s="1" t="s">
        <v>707</v>
      </c>
      <c r="D419" s="1" t="s">
        <v>97</v>
      </c>
      <c r="E419" s="1" t="s">
        <v>805</v>
      </c>
      <c r="F419" s="1" t="s">
        <v>21</v>
      </c>
      <c r="G419" s="1" t="s">
        <v>98</v>
      </c>
      <c r="H419" s="1" t="s">
        <v>30</v>
      </c>
      <c r="I419" s="1">
        <v>25</v>
      </c>
      <c r="J419" s="1" t="s">
        <v>24</v>
      </c>
      <c r="K419" s="1" t="s">
        <v>32</v>
      </c>
    </row>
    <row r="420" spans="2:11" ht="14.25" customHeight="1" x14ac:dyDescent="0.35">
      <c r="B420" s="2">
        <v>44854</v>
      </c>
      <c r="C420" s="1" t="s">
        <v>708</v>
      </c>
      <c r="D420" s="1" t="s">
        <v>443</v>
      </c>
      <c r="E420" s="1" t="s">
        <v>830</v>
      </c>
      <c r="F420" s="1" t="s">
        <v>13</v>
      </c>
      <c r="G420" s="1" t="s">
        <v>444</v>
      </c>
      <c r="H420" s="1" t="s">
        <v>15</v>
      </c>
      <c r="I420" s="1">
        <v>28</v>
      </c>
      <c r="J420" s="1" t="s">
        <v>42</v>
      </c>
      <c r="K420" s="1" t="s">
        <v>32</v>
      </c>
    </row>
    <row r="421" spans="2:11" ht="14.25" customHeight="1" x14ac:dyDescent="0.35">
      <c r="B421" s="2">
        <v>44854</v>
      </c>
      <c r="C421" s="1" t="s">
        <v>709</v>
      </c>
      <c r="D421" s="1" t="s">
        <v>49</v>
      </c>
      <c r="E421" s="1" t="s">
        <v>50</v>
      </c>
      <c r="F421" s="1" t="s">
        <v>13</v>
      </c>
      <c r="G421" s="1" t="s">
        <v>51</v>
      </c>
      <c r="H421" s="1" t="s">
        <v>15</v>
      </c>
      <c r="I421" s="1">
        <v>61</v>
      </c>
      <c r="J421" s="1" t="s">
        <v>31</v>
      </c>
      <c r="K421" s="1" t="s">
        <v>25</v>
      </c>
    </row>
    <row r="422" spans="2:11" ht="14.25" customHeight="1" x14ac:dyDescent="0.35">
      <c r="B422" s="2">
        <v>44854</v>
      </c>
      <c r="C422" s="1" t="s">
        <v>710</v>
      </c>
      <c r="D422" s="1" t="s">
        <v>92</v>
      </c>
      <c r="E422" s="1" t="s">
        <v>804</v>
      </c>
      <c r="F422" s="1" t="s">
        <v>21</v>
      </c>
      <c r="G422" s="1" t="s">
        <v>93</v>
      </c>
      <c r="H422" s="1" t="s">
        <v>23</v>
      </c>
      <c r="I422" s="1">
        <v>31</v>
      </c>
      <c r="J422" s="1" t="s">
        <v>16</v>
      </c>
      <c r="K422" s="1" t="s">
        <v>47</v>
      </c>
    </row>
    <row r="423" spans="2:11" ht="14.25" customHeight="1" x14ac:dyDescent="0.35">
      <c r="B423" s="2">
        <v>44856</v>
      </c>
      <c r="C423" s="1" t="s">
        <v>711</v>
      </c>
      <c r="D423" s="1" t="s">
        <v>104</v>
      </c>
      <c r="E423" s="1" t="s">
        <v>806</v>
      </c>
      <c r="F423" s="1" t="s">
        <v>13</v>
      </c>
      <c r="G423" s="1" t="s">
        <v>105</v>
      </c>
      <c r="H423" s="1" t="s">
        <v>30</v>
      </c>
      <c r="I423" s="1">
        <v>64</v>
      </c>
      <c r="J423" s="1" t="s">
        <v>31</v>
      </c>
      <c r="K423" s="1" t="s">
        <v>47</v>
      </c>
    </row>
    <row r="424" spans="2:11" ht="14.25" customHeight="1" x14ac:dyDescent="0.35">
      <c r="B424" s="2">
        <v>44857</v>
      </c>
      <c r="C424" s="1" t="s">
        <v>712</v>
      </c>
      <c r="D424" s="1" t="s">
        <v>558</v>
      </c>
      <c r="E424" s="1" t="s">
        <v>559</v>
      </c>
      <c r="F424" s="1" t="s">
        <v>13</v>
      </c>
      <c r="G424" s="1" t="s">
        <v>560</v>
      </c>
      <c r="H424" s="1" t="s">
        <v>15</v>
      </c>
      <c r="I424" s="1">
        <v>76</v>
      </c>
      <c r="J424" s="1" t="s">
        <v>151</v>
      </c>
      <c r="K424" s="1" t="s">
        <v>25</v>
      </c>
    </row>
    <row r="425" spans="2:11" ht="14.25" customHeight="1" x14ac:dyDescent="0.35">
      <c r="B425" s="2">
        <v>44860</v>
      </c>
      <c r="C425" s="1" t="s">
        <v>713</v>
      </c>
      <c r="D425" s="1" t="s">
        <v>192</v>
      </c>
      <c r="E425" s="1" t="s">
        <v>813</v>
      </c>
      <c r="F425" s="1" t="s">
        <v>13</v>
      </c>
      <c r="G425" s="1" t="s">
        <v>193</v>
      </c>
      <c r="H425" s="1" t="s">
        <v>15</v>
      </c>
      <c r="I425" s="1">
        <v>40</v>
      </c>
      <c r="J425" s="1" t="s">
        <v>16</v>
      </c>
      <c r="K425" s="1" t="s">
        <v>47</v>
      </c>
    </row>
    <row r="426" spans="2:11" ht="14.25" customHeight="1" x14ac:dyDescent="0.35">
      <c r="B426" s="2">
        <v>44861</v>
      </c>
      <c r="C426" s="1" t="s">
        <v>714</v>
      </c>
      <c r="D426" s="1" t="s">
        <v>590</v>
      </c>
      <c r="E426" s="1" t="s">
        <v>591</v>
      </c>
      <c r="F426" s="1" t="s">
        <v>13</v>
      </c>
      <c r="G426" s="1" t="s">
        <v>592</v>
      </c>
      <c r="H426" s="1" t="s">
        <v>30</v>
      </c>
      <c r="I426" s="1">
        <v>44</v>
      </c>
      <c r="J426" s="1" t="s">
        <v>66</v>
      </c>
      <c r="K426" s="1" t="s">
        <v>25</v>
      </c>
    </row>
    <row r="427" spans="2:11" ht="14.25" customHeight="1" x14ac:dyDescent="0.35">
      <c r="B427" s="2">
        <v>44864</v>
      </c>
      <c r="C427" s="1" t="s">
        <v>715</v>
      </c>
      <c r="D427" s="1" t="s">
        <v>319</v>
      </c>
      <c r="E427" s="1" t="s">
        <v>823</v>
      </c>
      <c r="F427" s="1" t="s">
        <v>21</v>
      </c>
      <c r="G427" s="1" t="s">
        <v>320</v>
      </c>
      <c r="H427" s="1" t="s">
        <v>30</v>
      </c>
      <c r="I427" s="1">
        <v>45</v>
      </c>
      <c r="J427" s="1" t="s">
        <v>151</v>
      </c>
      <c r="K427" s="1" t="s">
        <v>32</v>
      </c>
    </row>
    <row r="428" spans="2:11" ht="14.25" customHeight="1" x14ac:dyDescent="0.35">
      <c r="B428" s="2">
        <v>44865</v>
      </c>
      <c r="C428" s="1" t="s">
        <v>716</v>
      </c>
      <c r="D428" s="1" t="s">
        <v>394</v>
      </c>
      <c r="E428" s="1" t="s">
        <v>395</v>
      </c>
      <c r="F428" s="1" t="s">
        <v>13</v>
      </c>
      <c r="G428" s="1" t="s">
        <v>396</v>
      </c>
      <c r="H428" s="1" t="s">
        <v>23</v>
      </c>
      <c r="I428" s="1">
        <v>24</v>
      </c>
      <c r="J428" s="1" t="s">
        <v>37</v>
      </c>
      <c r="K428" s="1" t="s">
        <v>17</v>
      </c>
    </row>
    <row r="429" spans="2:11" ht="14.25" customHeight="1" x14ac:dyDescent="0.35">
      <c r="B429" s="2">
        <v>44865</v>
      </c>
      <c r="C429" s="1" t="s">
        <v>717</v>
      </c>
      <c r="D429" s="1" t="s">
        <v>129</v>
      </c>
      <c r="E429" s="1" t="s">
        <v>130</v>
      </c>
      <c r="F429" s="1" t="s">
        <v>21</v>
      </c>
      <c r="G429" s="1" t="s">
        <v>131</v>
      </c>
      <c r="H429" s="1" t="s">
        <v>23</v>
      </c>
      <c r="I429" s="1">
        <v>66</v>
      </c>
      <c r="J429" s="1" t="s">
        <v>57</v>
      </c>
      <c r="K429" s="1" t="s">
        <v>47</v>
      </c>
    </row>
    <row r="430" spans="2:11" ht="14.25" customHeight="1" x14ac:dyDescent="0.35">
      <c r="B430" s="2">
        <v>44866</v>
      </c>
      <c r="C430" s="1" t="s">
        <v>718</v>
      </c>
      <c r="D430" s="1" t="s">
        <v>121</v>
      </c>
      <c r="E430" s="1" t="s">
        <v>122</v>
      </c>
      <c r="F430" s="1" t="s">
        <v>13</v>
      </c>
      <c r="G430" s="1" t="s">
        <v>123</v>
      </c>
      <c r="H430" s="1" t="s">
        <v>15</v>
      </c>
      <c r="I430" s="1">
        <v>59</v>
      </c>
      <c r="J430" s="1" t="s">
        <v>42</v>
      </c>
      <c r="K430" s="1" t="s">
        <v>32</v>
      </c>
    </row>
    <row r="431" spans="2:11" ht="14.25" customHeight="1" x14ac:dyDescent="0.35">
      <c r="B431" s="2">
        <v>44866</v>
      </c>
      <c r="C431" s="1" t="s">
        <v>719</v>
      </c>
      <c r="D431" s="1" t="s">
        <v>169</v>
      </c>
      <c r="E431" s="1" t="s">
        <v>170</v>
      </c>
      <c r="F431" s="1" t="s">
        <v>13</v>
      </c>
      <c r="G431" s="1" t="s">
        <v>171</v>
      </c>
      <c r="H431" s="1" t="s">
        <v>30</v>
      </c>
      <c r="I431" s="1">
        <v>29</v>
      </c>
      <c r="J431" s="1" t="s">
        <v>16</v>
      </c>
      <c r="K431" s="1" t="s">
        <v>61</v>
      </c>
    </row>
    <row r="432" spans="2:11" ht="14.25" customHeight="1" x14ac:dyDescent="0.35">
      <c r="B432" s="2">
        <v>44868</v>
      </c>
      <c r="C432" s="1" t="s">
        <v>720</v>
      </c>
      <c r="D432" s="1" t="s">
        <v>542</v>
      </c>
      <c r="E432" s="1" t="s">
        <v>835</v>
      </c>
      <c r="F432" s="1" t="s">
        <v>21</v>
      </c>
      <c r="G432" s="1" t="s">
        <v>543</v>
      </c>
      <c r="H432" s="1" t="s">
        <v>15</v>
      </c>
      <c r="I432" s="1">
        <v>22</v>
      </c>
      <c r="J432" s="1" t="s">
        <v>24</v>
      </c>
      <c r="K432" s="1" t="s">
        <v>17</v>
      </c>
    </row>
    <row r="433" spans="2:11" ht="14.25" customHeight="1" x14ac:dyDescent="0.35">
      <c r="B433" s="2">
        <v>44869</v>
      </c>
      <c r="C433" s="1" t="s">
        <v>721</v>
      </c>
      <c r="D433" s="1" t="s">
        <v>232</v>
      </c>
      <c r="E433" s="1" t="s">
        <v>816</v>
      </c>
      <c r="F433" s="1" t="s">
        <v>21</v>
      </c>
      <c r="G433" s="1" t="s">
        <v>233</v>
      </c>
      <c r="H433" s="1" t="s">
        <v>15</v>
      </c>
      <c r="I433" s="1">
        <v>23</v>
      </c>
      <c r="J433" s="1" t="s">
        <v>37</v>
      </c>
      <c r="K433" s="1" t="s">
        <v>47</v>
      </c>
    </row>
    <row r="434" spans="2:11" ht="14.25" customHeight="1" x14ac:dyDescent="0.35">
      <c r="B434" s="2">
        <v>44869</v>
      </c>
      <c r="C434" s="1" t="s">
        <v>722</v>
      </c>
      <c r="D434" s="1" t="s">
        <v>145</v>
      </c>
      <c r="E434" s="1" t="s">
        <v>146</v>
      </c>
      <c r="F434" s="1" t="s">
        <v>13</v>
      </c>
      <c r="G434" s="1" t="s">
        <v>147</v>
      </c>
      <c r="H434" s="1" t="s">
        <v>23</v>
      </c>
      <c r="I434" s="1">
        <v>46</v>
      </c>
      <c r="J434" s="1" t="s">
        <v>66</v>
      </c>
      <c r="K434" s="1" t="s">
        <v>25</v>
      </c>
    </row>
    <row r="435" spans="2:11" ht="14.25" customHeight="1" x14ac:dyDescent="0.35">
      <c r="B435" s="2">
        <v>44870</v>
      </c>
      <c r="C435" s="1" t="s">
        <v>723</v>
      </c>
      <c r="D435" s="1" t="s">
        <v>281</v>
      </c>
      <c r="E435" s="1" t="s">
        <v>282</v>
      </c>
      <c r="F435" s="1" t="s">
        <v>21</v>
      </c>
      <c r="G435" s="1" t="s">
        <v>283</v>
      </c>
      <c r="H435" s="1" t="s">
        <v>30</v>
      </c>
      <c r="I435" s="1">
        <v>40</v>
      </c>
      <c r="J435" s="1" t="s">
        <v>42</v>
      </c>
      <c r="K435" s="1" t="s">
        <v>32</v>
      </c>
    </row>
    <row r="436" spans="2:11" ht="14.25" customHeight="1" x14ac:dyDescent="0.35">
      <c r="B436" s="2">
        <v>44870</v>
      </c>
      <c r="C436" s="1" t="s">
        <v>724</v>
      </c>
      <c r="D436" s="1" t="s">
        <v>133</v>
      </c>
      <c r="E436" s="1" t="s">
        <v>134</v>
      </c>
      <c r="F436" s="1" t="s">
        <v>13</v>
      </c>
      <c r="G436" s="1" t="s">
        <v>135</v>
      </c>
      <c r="H436" s="1" t="s">
        <v>23</v>
      </c>
      <c r="I436" s="1">
        <v>68</v>
      </c>
      <c r="J436" s="1" t="s">
        <v>151</v>
      </c>
      <c r="K436" s="1" t="s">
        <v>47</v>
      </c>
    </row>
    <row r="437" spans="2:11" ht="14.25" customHeight="1" x14ac:dyDescent="0.35">
      <c r="B437" s="2">
        <v>44870</v>
      </c>
      <c r="C437" s="1" t="s">
        <v>725</v>
      </c>
      <c r="D437" s="1" t="s">
        <v>183</v>
      </c>
      <c r="E437" s="1" t="s">
        <v>184</v>
      </c>
      <c r="F437" s="1" t="s">
        <v>21</v>
      </c>
      <c r="G437" s="1" t="s">
        <v>185</v>
      </c>
      <c r="H437" s="1" t="s">
        <v>15</v>
      </c>
      <c r="I437" s="1">
        <v>25</v>
      </c>
      <c r="J437" s="1" t="s">
        <v>52</v>
      </c>
      <c r="K437" s="1" t="s">
        <v>25</v>
      </c>
    </row>
    <row r="438" spans="2:11" ht="14.25" customHeight="1" x14ac:dyDescent="0.35">
      <c r="B438" s="2">
        <v>44871</v>
      </c>
      <c r="C438" s="1" t="s">
        <v>726</v>
      </c>
      <c r="D438" s="1" t="s">
        <v>250</v>
      </c>
      <c r="E438" s="1" t="s">
        <v>251</v>
      </c>
      <c r="F438" s="1" t="s">
        <v>21</v>
      </c>
      <c r="G438" s="1" t="s">
        <v>252</v>
      </c>
      <c r="H438" s="1" t="s">
        <v>15</v>
      </c>
      <c r="I438" s="1">
        <v>35</v>
      </c>
      <c r="J438" s="1" t="s">
        <v>151</v>
      </c>
      <c r="K438" s="1" t="s">
        <v>17</v>
      </c>
    </row>
    <row r="439" spans="2:11" ht="14.25" customHeight="1" x14ac:dyDescent="0.35">
      <c r="B439" s="2">
        <v>44871</v>
      </c>
      <c r="C439" s="1" t="s">
        <v>727</v>
      </c>
      <c r="D439" s="1" t="s">
        <v>269</v>
      </c>
      <c r="E439" s="1" t="s">
        <v>819</v>
      </c>
      <c r="F439" s="1" t="s">
        <v>13</v>
      </c>
      <c r="G439" s="1" t="s">
        <v>270</v>
      </c>
      <c r="H439" s="1" t="s">
        <v>15</v>
      </c>
      <c r="I439" s="1">
        <v>40</v>
      </c>
      <c r="J439" s="1" t="s">
        <v>24</v>
      </c>
      <c r="K439" s="1" t="s">
        <v>47</v>
      </c>
    </row>
    <row r="440" spans="2:11" ht="14.25" customHeight="1" x14ac:dyDescent="0.35">
      <c r="B440" s="2">
        <v>44871</v>
      </c>
      <c r="C440" s="1" t="s">
        <v>728</v>
      </c>
      <c r="D440" s="1" t="s">
        <v>269</v>
      </c>
      <c r="E440" s="1" t="s">
        <v>819</v>
      </c>
      <c r="F440" s="1" t="s">
        <v>13</v>
      </c>
      <c r="G440" s="1" t="s">
        <v>270</v>
      </c>
      <c r="H440" s="1" t="s">
        <v>15</v>
      </c>
      <c r="I440" s="1">
        <v>40</v>
      </c>
      <c r="J440" s="1" t="s">
        <v>167</v>
      </c>
      <c r="K440" s="1" t="s">
        <v>47</v>
      </c>
    </row>
    <row r="441" spans="2:11" ht="14.25" customHeight="1" x14ac:dyDescent="0.35">
      <c r="B441" s="2">
        <v>44872</v>
      </c>
      <c r="C441" s="1" t="s">
        <v>729</v>
      </c>
      <c r="D441" s="1" t="s">
        <v>63</v>
      </c>
      <c r="E441" s="1" t="s">
        <v>64</v>
      </c>
      <c r="F441" s="1" t="s">
        <v>13</v>
      </c>
      <c r="G441" s="1" t="s">
        <v>65</v>
      </c>
      <c r="H441" s="1" t="s">
        <v>15</v>
      </c>
      <c r="I441" s="1">
        <v>60</v>
      </c>
      <c r="J441" s="1" t="s">
        <v>66</v>
      </c>
      <c r="K441" s="1" t="s">
        <v>17</v>
      </c>
    </row>
    <row r="442" spans="2:11" ht="14.25" customHeight="1" x14ac:dyDescent="0.35">
      <c r="B442" s="2">
        <v>44872</v>
      </c>
      <c r="C442" s="1" t="s">
        <v>730</v>
      </c>
      <c r="D442" s="1" t="s">
        <v>100</v>
      </c>
      <c r="E442" s="1" t="s">
        <v>101</v>
      </c>
      <c r="F442" s="1" t="s">
        <v>13</v>
      </c>
      <c r="G442" s="1" t="s">
        <v>102</v>
      </c>
      <c r="H442" s="1" t="s">
        <v>15</v>
      </c>
      <c r="I442" s="1">
        <v>59</v>
      </c>
      <c r="J442" s="1" t="s">
        <v>16</v>
      </c>
      <c r="K442" s="1" t="s">
        <v>47</v>
      </c>
    </row>
    <row r="443" spans="2:11" ht="14.25" customHeight="1" x14ac:dyDescent="0.35">
      <c r="B443" s="2">
        <v>44873</v>
      </c>
      <c r="C443" s="1" t="s">
        <v>731</v>
      </c>
      <c r="D443" s="1" t="s">
        <v>149</v>
      </c>
      <c r="E443" s="1" t="s">
        <v>810</v>
      </c>
      <c r="F443" s="1" t="s">
        <v>21</v>
      </c>
      <c r="G443" s="1" t="s">
        <v>150</v>
      </c>
      <c r="H443" s="1" t="s">
        <v>15</v>
      </c>
      <c r="I443" s="1">
        <v>68</v>
      </c>
      <c r="J443" s="1" t="s">
        <v>66</v>
      </c>
      <c r="K443" s="1" t="s">
        <v>25</v>
      </c>
    </row>
    <row r="444" spans="2:11" ht="14.25" customHeight="1" x14ac:dyDescent="0.35">
      <c r="B444" s="2">
        <v>44873</v>
      </c>
      <c r="C444" s="1" t="s">
        <v>732</v>
      </c>
      <c r="D444" s="1" t="s">
        <v>137</v>
      </c>
      <c r="E444" s="1" t="s">
        <v>138</v>
      </c>
      <c r="F444" s="1" t="s">
        <v>21</v>
      </c>
      <c r="G444" s="1" t="s">
        <v>139</v>
      </c>
      <c r="H444" s="1" t="s">
        <v>15</v>
      </c>
      <c r="I444" s="1">
        <v>37</v>
      </c>
      <c r="J444" s="1" t="s">
        <v>24</v>
      </c>
      <c r="K444" s="1" t="s">
        <v>25</v>
      </c>
    </row>
    <row r="445" spans="2:11" ht="14.25" customHeight="1" x14ac:dyDescent="0.35">
      <c r="B445" s="2">
        <v>44874</v>
      </c>
      <c r="C445" s="1" t="s">
        <v>733</v>
      </c>
      <c r="D445" s="1" t="s">
        <v>259</v>
      </c>
      <c r="E445" s="1" t="s">
        <v>818</v>
      </c>
      <c r="F445" s="1" t="s">
        <v>21</v>
      </c>
      <c r="G445" s="1" t="s">
        <v>260</v>
      </c>
      <c r="H445" s="1" t="s">
        <v>30</v>
      </c>
      <c r="I445" s="1">
        <v>45</v>
      </c>
      <c r="J445" s="1" t="s">
        <v>66</v>
      </c>
      <c r="K445" s="1" t="s">
        <v>47</v>
      </c>
    </row>
    <row r="446" spans="2:11" ht="14.25" customHeight="1" x14ac:dyDescent="0.35">
      <c r="B446" s="2">
        <v>44875</v>
      </c>
      <c r="C446" s="1" t="s">
        <v>734</v>
      </c>
      <c r="D446" s="1" t="s">
        <v>472</v>
      </c>
      <c r="E446" s="1" t="s">
        <v>473</v>
      </c>
      <c r="F446" s="1" t="s">
        <v>21</v>
      </c>
      <c r="G446" s="1" t="s">
        <v>474</v>
      </c>
      <c r="H446" s="1" t="s">
        <v>15</v>
      </c>
      <c r="I446" s="1">
        <v>51</v>
      </c>
      <c r="J446" s="1" t="s">
        <v>66</v>
      </c>
      <c r="K446" s="1" t="s">
        <v>17</v>
      </c>
    </row>
    <row r="447" spans="2:11" ht="14.25" customHeight="1" x14ac:dyDescent="0.35">
      <c r="B447" s="2">
        <v>44876</v>
      </c>
      <c r="C447" s="1" t="s">
        <v>735</v>
      </c>
      <c r="D447" s="1" t="s">
        <v>628</v>
      </c>
      <c r="E447" s="1" t="s">
        <v>629</v>
      </c>
      <c r="F447" s="1" t="s">
        <v>13</v>
      </c>
      <c r="G447" s="1" t="s">
        <v>630</v>
      </c>
      <c r="H447" s="1" t="s">
        <v>23</v>
      </c>
      <c r="I447" s="1">
        <v>41</v>
      </c>
      <c r="J447" s="1" t="s">
        <v>16</v>
      </c>
      <c r="K447" s="1" t="s">
        <v>61</v>
      </c>
    </row>
    <row r="448" spans="2:11" ht="14.25" customHeight="1" x14ac:dyDescent="0.35">
      <c r="B448" s="2">
        <v>44876</v>
      </c>
      <c r="C448" s="1" t="s">
        <v>736</v>
      </c>
      <c r="D448" s="1" t="s">
        <v>482</v>
      </c>
      <c r="E448" s="1" t="s">
        <v>483</v>
      </c>
      <c r="F448" s="1" t="s">
        <v>21</v>
      </c>
      <c r="G448" s="1" t="s">
        <v>484</v>
      </c>
      <c r="H448" s="1" t="s">
        <v>15</v>
      </c>
      <c r="I448" s="1">
        <v>24</v>
      </c>
      <c r="J448" s="1" t="s">
        <v>66</v>
      </c>
      <c r="K448" s="1" t="s">
        <v>47</v>
      </c>
    </row>
    <row r="449" spans="2:11" ht="14.25" customHeight="1" x14ac:dyDescent="0.35">
      <c r="B449" s="2">
        <v>44877</v>
      </c>
      <c r="C449" s="1" t="s">
        <v>737</v>
      </c>
      <c r="D449" s="1" t="s">
        <v>121</v>
      </c>
      <c r="E449" s="1" t="s">
        <v>122</v>
      </c>
      <c r="F449" s="1" t="s">
        <v>13</v>
      </c>
      <c r="G449" s="1" t="s">
        <v>123</v>
      </c>
      <c r="H449" s="1" t="s">
        <v>15</v>
      </c>
      <c r="I449" s="1">
        <v>59</v>
      </c>
      <c r="J449" s="1" t="s">
        <v>167</v>
      </c>
      <c r="K449" s="1" t="s">
        <v>25</v>
      </c>
    </row>
    <row r="450" spans="2:11" ht="14.25" customHeight="1" x14ac:dyDescent="0.35">
      <c r="B450" s="2">
        <v>44878</v>
      </c>
      <c r="C450" s="1" t="s">
        <v>738</v>
      </c>
      <c r="D450" s="1" t="s">
        <v>343</v>
      </c>
      <c r="E450" s="1" t="s">
        <v>825</v>
      </c>
      <c r="F450" s="1" t="s">
        <v>21</v>
      </c>
      <c r="G450" s="1" t="s">
        <v>344</v>
      </c>
      <c r="H450" s="1" t="s">
        <v>15</v>
      </c>
      <c r="I450" s="1">
        <v>59</v>
      </c>
      <c r="J450" s="1" t="s">
        <v>167</v>
      </c>
      <c r="K450" s="1" t="s">
        <v>25</v>
      </c>
    </row>
    <row r="451" spans="2:11" ht="14.25" customHeight="1" x14ac:dyDescent="0.35">
      <c r="B451" s="2">
        <v>44881</v>
      </c>
      <c r="C451" s="1" t="s">
        <v>739</v>
      </c>
      <c r="D451" s="1" t="s">
        <v>214</v>
      </c>
      <c r="E451" s="1" t="s">
        <v>215</v>
      </c>
      <c r="F451" s="1" t="s">
        <v>21</v>
      </c>
      <c r="G451" s="1" t="s">
        <v>216</v>
      </c>
      <c r="H451" s="1" t="s">
        <v>30</v>
      </c>
      <c r="I451" s="1">
        <v>29</v>
      </c>
      <c r="J451" s="1" t="s">
        <v>57</v>
      </c>
      <c r="K451" s="1" t="s">
        <v>47</v>
      </c>
    </row>
    <row r="452" spans="2:11" ht="14.25" customHeight="1" x14ac:dyDescent="0.35">
      <c r="B452" s="2">
        <v>44881</v>
      </c>
      <c r="C452" s="1" t="s">
        <v>740</v>
      </c>
      <c r="D452" s="1" t="s">
        <v>125</v>
      </c>
      <c r="E452" s="1" t="s">
        <v>126</v>
      </c>
      <c r="F452" s="1" t="s">
        <v>21</v>
      </c>
      <c r="G452" s="1" t="s">
        <v>127</v>
      </c>
      <c r="H452" s="1" t="s">
        <v>23</v>
      </c>
      <c r="I452" s="1">
        <v>76</v>
      </c>
      <c r="J452" s="1" t="s">
        <v>16</v>
      </c>
      <c r="K452" s="1" t="s">
        <v>47</v>
      </c>
    </row>
    <row r="453" spans="2:11" ht="14.25" customHeight="1" x14ac:dyDescent="0.35">
      <c r="B453" s="2">
        <v>44882</v>
      </c>
      <c r="C453" s="1" t="s">
        <v>741</v>
      </c>
      <c r="D453" s="1" t="s">
        <v>398</v>
      </c>
      <c r="E453" s="1" t="s">
        <v>827</v>
      </c>
      <c r="F453" s="1" t="s">
        <v>21</v>
      </c>
      <c r="G453" s="1" t="s">
        <v>399</v>
      </c>
      <c r="H453" s="1" t="s">
        <v>15</v>
      </c>
      <c r="I453" s="1">
        <v>32</v>
      </c>
      <c r="J453" s="1" t="s">
        <v>16</v>
      </c>
      <c r="K453" s="1" t="s">
        <v>47</v>
      </c>
    </row>
    <row r="454" spans="2:11" ht="14.25" customHeight="1" x14ac:dyDescent="0.35">
      <c r="B454" s="2">
        <v>44882</v>
      </c>
      <c r="C454" s="1" t="s">
        <v>742</v>
      </c>
      <c r="D454" s="1" t="s">
        <v>546</v>
      </c>
      <c r="E454" s="1" t="s">
        <v>547</v>
      </c>
      <c r="F454" s="1" t="s">
        <v>21</v>
      </c>
      <c r="G454" s="1" t="s">
        <v>548</v>
      </c>
      <c r="H454" s="1" t="s">
        <v>15</v>
      </c>
      <c r="I454" s="1">
        <v>36</v>
      </c>
      <c r="J454" s="1" t="s">
        <v>42</v>
      </c>
      <c r="K454" s="1" t="s">
        <v>32</v>
      </c>
    </row>
    <row r="455" spans="2:11" ht="14.25" customHeight="1" x14ac:dyDescent="0.35">
      <c r="B455" s="2">
        <v>44882</v>
      </c>
      <c r="C455" s="1" t="s">
        <v>743</v>
      </c>
      <c r="D455" s="1" t="s">
        <v>382</v>
      </c>
      <c r="E455" s="1" t="s">
        <v>383</v>
      </c>
      <c r="F455" s="1" t="s">
        <v>21</v>
      </c>
      <c r="G455" s="1" t="s">
        <v>384</v>
      </c>
      <c r="H455" s="1" t="s">
        <v>30</v>
      </c>
      <c r="I455" s="1">
        <v>72</v>
      </c>
      <c r="J455" s="1" t="s">
        <v>42</v>
      </c>
      <c r="K455" s="1" t="s">
        <v>61</v>
      </c>
    </row>
    <row r="456" spans="2:11" ht="14.25" customHeight="1" x14ac:dyDescent="0.35">
      <c r="B456" s="2">
        <v>44883</v>
      </c>
      <c r="C456" s="1" t="s">
        <v>744</v>
      </c>
      <c r="D456" s="1" t="s">
        <v>482</v>
      </c>
      <c r="E456" s="1" t="s">
        <v>483</v>
      </c>
      <c r="F456" s="1" t="s">
        <v>21</v>
      </c>
      <c r="G456" s="1" t="s">
        <v>484</v>
      </c>
      <c r="H456" s="1" t="s">
        <v>15</v>
      </c>
      <c r="I456" s="1">
        <v>24</v>
      </c>
      <c r="J456" s="1" t="s">
        <v>31</v>
      </c>
      <c r="K456" s="1" t="s">
        <v>32</v>
      </c>
    </row>
    <row r="457" spans="2:11" ht="14.25" customHeight="1" x14ac:dyDescent="0.35">
      <c r="B457" s="2">
        <v>44883</v>
      </c>
      <c r="C457" s="1" t="s">
        <v>745</v>
      </c>
      <c r="D457" s="1" t="s">
        <v>255</v>
      </c>
      <c r="E457" s="1" t="s">
        <v>256</v>
      </c>
      <c r="F457" s="1" t="s">
        <v>13</v>
      </c>
      <c r="G457" s="1" t="s">
        <v>257</v>
      </c>
      <c r="H457" s="1" t="s">
        <v>15</v>
      </c>
      <c r="I457" s="1">
        <v>19</v>
      </c>
      <c r="J457" s="1" t="s">
        <v>42</v>
      </c>
      <c r="K457" s="1" t="s">
        <v>17</v>
      </c>
    </row>
    <row r="458" spans="2:11" ht="14.25" customHeight="1" x14ac:dyDescent="0.35">
      <c r="B458" s="2">
        <v>44884</v>
      </c>
      <c r="C458" s="1" t="s">
        <v>746</v>
      </c>
      <c r="D458" s="1" t="s">
        <v>218</v>
      </c>
      <c r="E458" s="1" t="s">
        <v>815</v>
      </c>
      <c r="F458" s="1" t="s">
        <v>13</v>
      </c>
      <c r="G458" s="1" t="s">
        <v>219</v>
      </c>
      <c r="H458" s="1" t="s">
        <v>15</v>
      </c>
      <c r="I458" s="1">
        <v>46</v>
      </c>
      <c r="J458" s="1" t="s">
        <v>167</v>
      </c>
      <c r="K458" s="1" t="s">
        <v>47</v>
      </c>
    </row>
    <row r="459" spans="2:11" ht="14.25" customHeight="1" x14ac:dyDescent="0.35">
      <c r="B459" s="2">
        <v>44884</v>
      </c>
      <c r="C459" s="1" t="s">
        <v>747</v>
      </c>
      <c r="D459" s="1" t="s">
        <v>200</v>
      </c>
      <c r="E459" s="1" t="s">
        <v>201</v>
      </c>
      <c r="F459" s="1" t="s">
        <v>21</v>
      </c>
      <c r="G459" s="1" t="s">
        <v>202</v>
      </c>
      <c r="H459" s="1" t="s">
        <v>23</v>
      </c>
      <c r="I459" s="1">
        <v>48</v>
      </c>
      <c r="J459" s="1" t="s">
        <v>42</v>
      </c>
      <c r="K459" s="1" t="s">
        <v>61</v>
      </c>
    </row>
    <row r="460" spans="2:11" ht="14.25" customHeight="1" x14ac:dyDescent="0.35">
      <c r="B460" s="2">
        <v>44884</v>
      </c>
      <c r="C460" s="1" t="s">
        <v>748</v>
      </c>
      <c r="D460" s="1" t="s">
        <v>241</v>
      </c>
      <c r="E460" s="1" t="s">
        <v>817</v>
      </c>
      <c r="F460" s="1" t="s">
        <v>21</v>
      </c>
      <c r="G460" s="1" t="s">
        <v>242</v>
      </c>
      <c r="H460" s="1" t="s">
        <v>30</v>
      </c>
      <c r="I460" s="1">
        <v>31</v>
      </c>
      <c r="J460" s="1" t="s">
        <v>16</v>
      </c>
      <c r="K460" s="1" t="s">
        <v>32</v>
      </c>
    </row>
    <row r="461" spans="2:11" ht="14.25" customHeight="1" x14ac:dyDescent="0.35">
      <c r="B461" s="2">
        <v>44888</v>
      </c>
      <c r="C461" s="1" t="s">
        <v>749</v>
      </c>
      <c r="D461" s="1" t="s">
        <v>111</v>
      </c>
      <c r="E461" s="1" t="s">
        <v>112</v>
      </c>
      <c r="F461" s="1" t="s">
        <v>21</v>
      </c>
      <c r="G461" s="1" t="s">
        <v>113</v>
      </c>
      <c r="H461" s="1" t="s">
        <v>23</v>
      </c>
      <c r="I461" s="1">
        <v>58</v>
      </c>
      <c r="J461" s="1" t="s">
        <v>16</v>
      </c>
      <c r="K461" s="1" t="s">
        <v>17</v>
      </c>
    </row>
    <row r="462" spans="2:11" ht="14.25" customHeight="1" x14ac:dyDescent="0.35">
      <c r="B462" s="2">
        <v>44888</v>
      </c>
      <c r="C462" s="1" t="s">
        <v>750</v>
      </c>
      <c r="D462" s="1" t="s">
        <v>59</v>
      </c>
      <c r="E462" s="1" t="s">
        <v>800</v>
      </c>
      <c r="F462" s="1" t="s">
        <v>13</v>
      </c>
      <c r="G462" s="1" t="s">
        <v>60</v>
      </c>
      <c r="H462" s="1" t="s">
        <v>15</v>
      </c>
      <c r="I462" s="1">
        <v>48</v>
      </c>
      <c r="J462" s="1" t="s">
        <v>52</v>
      </c>
      <c r="K462" s="1" t="s">
        <v>61</v>
      </c>
    </row>
    <row r="463" spans="2:11" ht="14.25" customHeight="1" x14ac:dyDescent="0.35">
      <c r="B463" s="2">
        <v>44889</v>
      </c>
      <c r="C463" s="1" t="s">
        <v>751</v>
      </c>
      <c r="D463" s="1" t="s">
        <v>83</v>
      </c>
      <c r="E463" s="1" t="s">
        <v>803</v>
      </c>
      <c r="F463" s="1" t="s">
        <v>13</v>
      </c>
      <c r="G463" s="1" t="s">
        <v>84</v>
      </c>
      <c r="H463" s="1" t="s">
        <v>30</v>
      </c>
      <c r="I463" s="1">
        <v>30</v>
      </c>
      <c r="J463" s="1" t="s">
        <v>42</v>
      </c>
      <c r="K463" s="1" t="s">
        <v>47</v>
      </c>
    </row>
    <row r="464" spans="2:11" ht="14.25" customHeight="1" x14ac:dyDescent="0.35">
      <c r="B464" s="2">
        <v>44889</v>
      </c>
      <c r="C464" s="1" t="s">
        <v>752</v>
      </c>
      <c r="D464" s="1" t="s">
        <v>567</v>
      </c>
      <c r="E464" s="1" t="s">
        <v>568</v>
      </c>
      <c r="F464" s="1" t="s">
        <v>13</v>
      </c>
      <c r="G464" s="1" t="s">
        <v>569</v>
      </c>
      <c r="H464" s="1" t="s">
        <v>15</v>
      </c>
      <c r="I464" s="1">
        <v>34</v>
      </c>
      <c r="J464" s="1" t="s">
        <v>66</v>
      </c>
      <c r="K464" s="1" t="s">
        <v>25</v>
      </c>
    </row>
    <row r="465" spans="2:11" ht="14.25" customHeight="1" x14ac:dyDescent="0.35">
      <c r="B465" s="2">
        <v>44890</v>
      </c>
      <c r="C465" s="1" t="s">
        <v>753</v>
      </c>
      <c r="D465" s="1" t="s">
        <v>272</v>
      </c>
      <c r="E465" s="1" t="s">
        <v>820</v>
      </c>
      <c r="F465" s="1" t="s">
        <v>13</v>
      </c>
      <c r="G465" s="1" t="s">
        <v>273</v>
      </c>
      <c r="H465" s="1" t="s">
        <v>15</v>
      </c>
      <c r="I465" s="1">
        <v>44</v>
      </c>
      <c r="J465" s="1" t="s">
        <v>57</v>
      </c>
      <c r="K465" s="1" t="s">
        <v>61</v>
      </c>
    </row>
    <row r="466" spans="2:11" ht="14.25" customHeight="1" x14ac:dyDescent="0.35">
      <c r="B466" s="2">
        <v>44890</v>
      </c>
      <c r="C466" s="1" t="s">
        <v>754</v>
      </c>
      <c r="D466" s="1" t="s">
        <v>241</v>
      </c>
      <c r="E466" s="1" t="s">
        <v>817</v>
      </c>
      <c r="F466" s="1" t="s">
        <v>21</v>
      </c>
      <c r="G466" s="1" t="s">
        <v>242</v>
      </c>
      <c r="H466" s="1" t="s">
        <v>30</v>
      </c>
      <c r="I466" s="1">
        <v>31</v>
      </c>
      <c r="J466" s="1" t="s">
        <v>16</v>
      </c>
      <c r="K466" s="1" t="s">
        <v>17</v>
      </c>
    </row>
    <row r="467" spans="2:11" ht="14.25" customHeight="1" x14ac:dyDescent="0.35">
      <c r="B467" s="2">
        <v>44893</v>
      </c>
      <c r="C467" s="1" t="s">
        <v>755</v>
      </c>
      <c r="D467" s="1" t="s">
        <v>244</v>
      </c>
      <c r="E467" s="1" t="s">
        <v>245</v>
      </c>
      <c r="F467" s="1" t="s">
        <v>21</v>
      </c>
      <c r="G467" s="1" t="s">
        <v>246</v>
      </c>
      <c r="H467" s="1" t="s">
        <v>15</v>
      </c>
      <c r="I467" s="1">
        <v>29</v>
      </c>
      <c r="J467" s="1" t="s">
        <v>16</v>
      </c>
      <c r="K467" s="1" t="s">
        <v>47</v>
      </c>
    </row>
    <row r="468" spans="2:11" ht="14.25" customHeight="1" x14ac:dyDescent="0.35">
      <c r="B468" s="2">
        <v>44895</v>
      </c>
      <c r="C468" s="1" t="s">
        <v>756</v>
      </c>
      <c r="D468" s="1" t="s">
        <v>349</v>
      </c>
      <c r="E468" s="1" t="s">
        <v>350</v>
      </c>
      <c r="F468" s="1" t="s">
        <v>13</v>
      </c>
      <c r="G468" s="1" t="s">
        <v>351</v>
      </c>
      <c r="H468" s="1" t="s">
        <v>15</v>
      </c>
      <c r="I468" s="1">
        <v>50</v>
      </c>
      <c r="J468" s="1" t="s">
        <v>66</v>
      </c>
      <c r="K468" s="1" t="s">
        <v>47</v>
      </c>
    </row>
    <row r="469" spans="2:11" ht="14.25" customHeight="1" x14ac:dyDescent="0.35">
      <c r="B469" s="2">
        <v>44896</v>
      </c>
      <c r="C469" s="1" t="s">
        <v>757</v>
      </c>
      <c r="D469" s="1" t="s">
        <v>49</v>
      </c>
      <c r="E469" s="1" t="s">
        <v>50</v>
      </c>
      <c r="F469" s="1" t="s">
        <v>13</v>
      </c>
      <c r="G469" s="1" t="s">
        <v>51</v>
      </c>
      <c r="H469" s="1" t="s">
        <v>15</v>
      </c>
      <c r="I469" s="1">
        <v>61</v>
      </c>
      <c r="J469" s="1" t="s">
        <v>167</v>
      </c>
      <c r="K469" s="1" t="s">
        <v>17</v>
      </c>
    </row>
    <row r="470" spans="2:11" ht="14.25" customHeight="1" x14ac:dyDescent="0.35">
      <c r="B470" s="2">
        <v>44897</v>
      </c>
      <c r="C470" s="1" t="s">
        <v>758</v>
      </c>
      <c r="D470" s="1" t="s">
        <v>482</v>
      </c>
      <c r="E470" s="1" t="s">
        <v>483</v>
      </c>
      <c r="F470" s="1" t="s">
        <v>21</v>
      </c>
      <c r="G470" s="1" t="s">
        <v>484</v>
      </c>
      <c r="H470" s="1" t="s">
        <v>15</v>
      </c>
      <c r="I470" s="1">
        <v>24</v>
      </c>
      <c r="J470" s="1" t="s">
        <v>16</v>
      </c>
      <c r="K470" s="1" t="s">
        <v>17</v>
      </c>
    </row>
    <row r="471" spans="2:11" ht="14.25" customHeight="1" x14ac:dyDescent="0.35">
      <c r="B471" s="2">
        <v>44897</v>
      </c>
      <c r="C471" s="1" t="s">
        <v>759</v>
      </c>
      <c r="D471" s="1" t="s">
        <v>306</v>
      </c>
      <c r="E471" s="1" t="s">
        <v>307</v>
      </c>
      <c r="F471" s="1" t="s">
        <v>13</v>
      </c>
      <c r="G471" s="1" t="s">
        <v>308</v>
      </c>
      <c r="H471" s="1" t="s">
        <v>30</v>
      </c>
      <c r="I471" s="1">
        <v>21</v>
      </c>
      <c r="J471" s="1" t="s">
        <v>66</v>
      </c>
      <c r="K471" s="1" t="s">
        <v>47</v>
      </c>
    </row>
    <row r="472" spans="2:11" ht="14.25" customHeight="1" x14ac:dyDescent="0.35">
      <c r="B472" s="2">
        <v>44899</v>
      </c>
      <c r="C472" s="1" t="s">
        <v>760</v>
      </c>
      <c r="D472" s="1" t="s">
        <v>192</v>
      </c>
      <c r="E472" s="1" t="s">
        <v>813</v>
      </c>
      <c r="F472" s="1" t="s">
        <v>13</v>
      </c>
      <c r="G472" s="1" t="s">
        <v>193</v>
      </c>
      <c r="H472" s="1" t="s">
        <v>15</v>
      </c>
      <c r="I472" s="1">
        <v>40</v>
      </c>
      <c r="J472" s="1" t="s">
        <v>37</v>
      </c>
      <c r="K472" s="1" t="s">
        <v>25</v>
      </c>
    </row>
    <row r="473" spans="2:11" ht="14.25" customHeight="1" x14ac:dyDescent="0.35">
      <c r="B473" s="2">
        <v>44899</v>
      </c>
      <c r="C473" s="1" t="s">
        <v>761</v>
      </c>
      <c r="D473" s="1" t="s">
        <v>178</v>
      </c>
      <c r="E473" s="1" t="s">
        <v>179</v>
      </c>
      <c r="F473" s="1" t="s">
        <v>13</v>
      </c>
      <c r="G473" s="1" t="s">
        <v>180</v>
      </c>
      <c r="H473" s="1" t="s">
        <v>30</v>
      </c>
      <c r="I473" s="1">
        <v>63</v>
      </c>
      <c r="J473" s="1" t="s">
        <v>52</v>
      </c>
      <c r="K473" s="1" t="s">
        <v>61</v>
      </c>
    </row>
    <row r="474" spans="2:11" ht="14.25" customHeight="1" x14ac:dyDescent="0.35">
      <c r="B474" s="2">
        <v>44900</v>
      </c>
      <c r="C474" s="1" t="s">
        <v>762</v>
      </c>
      <c r="D474" s="1" t="s">
        <v>324</v>
      </c>
      <c r="E474" s="1" t="s">
        <v>824</v>
      </c>
      <c r="F474" s="1" t="s">
        <v>21</v>
      </c>
      <c r="G474" s="1" t="s">
        <v>325</v>
      </c>
      <c r="H474" s="1" t="s">
        <v>30</v>
      </c>
      <c r="I474" s="1">
        <v>50</v>
      </c>
      <c r="J474" s="1" t="s">
        <v>66</v>
      </c>
      <c r="K474" s="1" t="s">
        <v>61</v>
      </c>
    </row>
    <row r="475" spans="2:11" ht="14.25" customHeight="1" x14ac:dyDescent="0.35">
      <c r="B475" s="2">
        <v>44902</v>
      </c>
      <c r="C475" s="1" t="s">
        <v>763</v>
      </c>
      <c r="D475" s="1" t="s">
        <v>275</v>
      </c>
      <c r="E475" s="1" t="s">
        <v>276</v>
      </c>
      <c r="F475" s="1" t="s">
        <v>13</v>
      </c>
      <c r="G475" s="1" t="s">
        <v>277</v>
      </c>
      <c r="H475" s="1" t="s">
        <v>30</v>
      </c>
      <c r="I475" s="1">
        <v>64</v>
      </c>
      <c r="J475" s="1" t="s">
        <v>16</v>
      </c>
      <c r="K475" s="1" t="s">
        <v>25</v>
      </c>
    </row>
    <row r="476" spans="2:11" ht="14.25" customHeight="1" x14ac:dyDescent="0.35">
      <c r="B476" s="2">
        <v>44902</v>
      </c>
      <c r="C476" s="1" t="s">
        <v>764</v>
      </c>
      <c r="D476" s="1" t="s">
        <v>472</v>
      </c>
      <c r="E476" s="1" t="s">
        <v>473</v>
      </c>
      <c r="F476" s="1" t="s">
        <v>21</v>
      </c>
      <c r="G476" s="1" t="s">
        <v>474</v>
      </c>
      <c r="H476" s="1" t="s">
        <v>15</v>
      </c>
      <c r="I476" s="1">
        <v>51</v>
      </c>
      <c r="J476" s="1" t="s">
        <v>66</v>
      </c>
      <c r="K476" s="1" t="s">
        <v>25</v>
      </c>
    </row>
    <row r="477" spans="2:11" ht="14.25" customHeight="1" x14ac:dyDescent="0.35">
      <c r="B477" s="2">
        <v>44902</v>
      </c>
      <c r="C477" s="1" t="s">
        <v>765</v>
      </c>
      <c r="D477" s="1" t="s">
        <v>39</v>
      </c>
      <c r="E477" s="1" t="s">
        <v>40</v>
      </c>
      <c r="F477" s="1" t="s">
        <v>21</v>
      </c>
      <c r="G477" s="1" t="s">
        <v>41</v>
      </c>
      <c r="H477" s="1" t="s">
        <v>15</v>
      </c>
      <c r="I477" s="1">
        <v>48</v>
      </c>
      <c r="J477" s="1" t="s">
        <v>42</v>
      </c>
      <c r="K477" s="1" t="s">
        <v>61</v>
      </c>
    </row>
    <row r="478" spans="2:11" ht="14.25" customHeight="1" x14ac:dyDescent="0.35">
      <c r="B478" s="2">
        <v>44902</v>
      </c>
      <c r="C478" s="1" t="s">
        <v>766</v>
      </c>
      <c r="D478" s="1" t="s">
        <v>241</v>
      </c>
      <c r="E478" s="1" t="s">
        <v>817</v>
      </c>
      <c r="F478" s="1" t="s">
        <v>21</v>
      </c>
      <c r="G478" s="1" t="s">
        <v>242</v>
      </c>
      <c r="H478" s="1" t="s">
        <v>30</v>
      </c>
      <c r="I478" s="1">
        <v>31</v>
      </c>
      <c r="J478" s="1" t="s">
        <v>52</v>
      </c>
      <c r="K478" s="1" t="s">
        <v>61</v>
      </c>
    </row>
    <row r="479" spans="2:11" ht="14.25" customHeight="1" x14ac:dyDescent="0.35">
      <c r="B479" s="2">
        <v>44902</v>
      </c>
      <c r="C479" s="1" t="s">
        <v>767</v>
      </c>
      <c r="D479" s="1" t="s">
        <v>223</v>
      </c>
      <c r="E479" s="1" t="s">
        <v>224</v>
      </c>
      <c r="F479" s="1" t="s">
        <v>21</v>
      </c>
      <c r="G479" s="1" t="s">
        <v>225</v>
      </c>
      <c r="H479" s="1" t="s">
        <v>30</v>
      </c>
      <c r="I479" s="1">
        <v>68</v>
      </c>
      <c r="J479" s="1" t="s">
        <v>42</v>
      </c>
      <c r="K479" s="1" t="s">
        <v>25</v>
      </c>
    </row>
    <row r="480" spans="2:11" ht="14.25" customHeight="1" x14ac:dyDescent="0.35">
      <c r="B480" s="2">
        <v>44902</v>
      </c>
      <c r="C480" s="1" t="s">
        <v>768</v>
      </c>
      <c r="D480" s="1" t="s">
        <v>11</v>
      </c>
      <c r="E480" s="1" t="s">
        <v>12</v>
      </c>
      <c r="F480" s="1" t="s">
        <v>13</v>
      </c>
      <c r="G480" s="1" t="s">
        <v>14</v>
      </c>
      <c r="H480" s="1" t="s">
        <v>15</v>
      </c>
      <c r="I480" s="1">
        <v>41</v>
      </c>
      <c r="J480" s="1" t="s">
        <v>37</v>
      </c>
      <c r="K480" s="1" t="s">
        <v>47</v>
      </c>
    </row>
    <row r="481" spans="2:11" ht="14.25" customHeight="1" x14ac:dyDescent="0.35">
      <c r="B481" s="2">
        <v>44903</v>
      </c>
      <c r="C481" s="1" t="s">
        <v>769</v>
      </c>
      <c r="D481" s="1" t="s">
        <v>528</v>
      </c>
      <c r="E481" s="1" t="s">
        <v>529</v>
      </c>
      <c r="F481" s="1" t="s">
        <v>21</v>
      </c>
      <c r="G481" s="1" t="s">
        <v>530</v>
      </c>
      <c r="H481" s="1" t="s">
        <v>15</v>
      </c>
      <c r="I481" s="1">
        <v>50</v>
      </c>
      <c r="J481" s="1" t="s">
        <v>42</v>
      </c>
      <c r="K481" s="1" t="s">
        <v>61</v>
      </c>
    </row>
    <row r="482" spans="2:11" ht="14.25" customHeight="1" x14ac:dyDescent="0.35">
      <c r="B482" s="2">
        <v>44903</v>
      </c>
      <c r="C482" s="1" t="s">
        <v>770</v>
      </c>
      <c r="D482" s="1" t="s">
        <v>501</v>
      </c>
      <c r="E482" s="1" t="s">
        <v>834</v>
      </c>
      <c r="F482" s="1" t="s">
        <v>21</v>
      </c>
      <c r="G482" s="1" t="s">
        <v>502</v>
      </c>
      <c r="H482" s="1" t="s">
        <v>15</v>
      </c>
      <c r="I482" s="1">
        <v>21</v>
      </c>
      <c r="J482" s="1" t="s">
        <v>16</v>
      </c>
      <c r="K482" s="1" t="s">
        <v>47</v>
      </c>
    </row>
    <row r="483" spans="2:11" ht="14.25" customHeight="1" x14ac:dyDescent="0.35">
      <c r="B483" s="2">
        <v>44903</v>
      </c>
      <c r="C483" s="1" t="s">
        <v>771</v>
      </c>
      <c r="D483" s="1" t="s">
        <v>129</v>
      </c>
      <c r="E483" s="1" t="s">
        <v>130</v>
      </c>
      <c r="F483" s="1" t="s">
        <v>21</v>
      </c>
      <c r="G483" s="1" t="s">
        <v>131</v>
      </c>
      <c r="H483" s="1" t="s">
        <v>23</v>
      </c>
      <c r="I483" s="1">
        <v>66</v>
      </c>
      <c r="J483" s="1" t="s">
        <v>52</v>
      </c>
      <c r="K483" s="1" t="s">
        <v>61</v>
      </c>
    </row>
    <row r="484" spans="2:11" ht="14.25" customHeight="1" x14ac:dyDescent="0.35">
      <c r="B484" s="2">
        <v>44903</v>
      </c>
      <c r="C484" s="1" t="s">
        <v>772</v>
      </c>
      <c r="D484" s="1" t="s">
        <v>289</v>
      </c>
      <c r="E484" s="1" t="s">
        <v>821</v>
      </c>
      <c r="F484" s="1" t="s">
        <v>21</v>
      </c>
      <c r="G484" s="1" t="s">
        <v>290</v>
      </c>
      <c r="H484" s="1" t="s">
        <v>15</v>
      </c>
      <c r="I484" s="1">
        <v>65</v>
      </c>
      <c r="J484" s="1" t="s">
        <v>24</v>
      </c>
      <c r="K484" s="1" t="s">
        <v>47</v>
      </c>
    </row>
    <row r="485" spans="2:11" ht="14.25" customHeight="1" x14ac:dyDescent="0.35">
      <c r="B485" s="2">
        <v>44904</v>
      </c>
      <c r="C485" s="1" t="s">
        <v>773</v>
      </c>
      <c r="D485" s="1" t="s">
        <v>141</v>
      </c>
      <c r="E485" s="1" t="s">
        <v>142</v>
      </c>
      <c r="F485" s="1" t="s">
        <v>21</v>
      </c>
      <c r="G485" s="1" t="s">
        <v>143</v>
      </c>
      <c r="H485" s="1" t="s">
        <v>15</v>
      </c>
      <c r="I485" s="1">
        <v>34</v>
      </c>
      <c r="J485" s="1" t="s">
        <v>16</v>
      </c>
      <c r="K485" s="1" t="s">
        <v>17</v>
      </c>
    </row>
    <row r="486" spans="2:11" ht="14.25" customHeight="1" x14ac:dyDescent="0.35">
      <c r="B486" s="2">
        <v>44905</v>
      </c>
      <c r="C486" s="1" t="s">
        <v>774</v>
      </c>
      <c r="D486" s="1" t="s">
        <v>75</v>
      </c>
      <c r="E486" s="1" t="s">
        <v>76</v>
      </c>
      <c r="F486" s="1" t="s">
        <v>21</v>
      </c>
      <c r="G486" s="1" t="s">
        <v>77</v>
      </c>
      <c r="H486" s="1" t="s">
        <v>30</v>
      </c>
      <c r="I486" s="1">
        <v>19</v>
      </c>
      <c r="J486" s="1" t="s">
        <v>66</v>
      </c>
      <c r="K486" s="1" t="s">
        <v>17</v>
      </c>
    </row>
    <row r="487" spans="2:11" ht="14.25" customHeight="1" x14ac:dyDescent="0.35">
      <c r="B487" s="2">
        <v>44907</v>
      </c>
      <c r="C487" s="1" t="s">
        <v>775</v>
      </c>
      <c r="D487" s="1" t="s">
        <v>68</v>
      </c>
      <c r="E487" s="1" t="s">
        <v>801</v>
      </c>
      <c r="F487" s="1" t="s">
        <v>13</v>
      </c>
      <c r="G487" s="1" t="s">
        <v>69</v>
      </c>
      <c r="H487" s="1" t="s">
        <v>30</v>
      </c>
      <c r="I487" s="1">
        <v>71</v>
      </c>
      <c r="J487" s="1" t="s">
        <v>42</v>
      </c>
      <c r="K487" s="1" t="s">
        <v>25</v>
      </c>
    </row>
    <row r="488" spans="2:11" ht="14.25" customHeight="1" x14ac:dyDescent="0.35">
      <c r="B488" s="2">
        <v>44907</v>
      </c>
      <c r="C488" s="1" t="s">
        <v>776</v>
      </c>
      <c r="D488" s="1" t="s">
        <v>97</v>
      </c>
      <c r="E488" s="1" t="s">
        <v>805</v>
      </c>
      <c r="F488" s="1" t="s">
        <v>21</v>
      </c>
      <c r="G488" s="1" t="s">
        <v>98</v>
      </c>
      <c r="H488" s="1" t="s">
        <v>30</v>
      </c>
      <c r="I488" s="1">
        <v>25</v>
      </c>
      <c r="J488" s="1" t="s">
        <v>31</v>
      </c>
      <c r="K488" s="1" t="s">
        <v>61</v>
      </c>
    </row>
    <row r="489" spans="2:11" ht="14.25" customHeight="1" x14ac:dyDescent="0.35">
      <c r="B489" s="2">
        <v>44907</v>
      </c>
      <c r="C489" s="1" t="s">
        <v>777</v>
      </c>
      <c r="D489" s="1" t="s">
        <v>244</v>
      </c>
      <c r="E489" s="1" t="s">
        <v>245</v>
      </c>
      <c r="F489" s="1" t="s">
        <v>21</v>
      </c>
      <c r="G489" s="1" t="s">
        <v>246</v>
      </c>
      <c r="H489" s="1" t="s">
        <v>15</v>
      </c>
      <c r="I489" s="1">
        <v>29</v>
      </c>
      <c r="J489" s="1" t="s">
        <v>16</v>
      </c>
      <c r="K489" s="1" t="s">
        <v>32</v>
      </c>
    </row>
    <row r="490" spans="2:11" ht="14.25" customHeight="1" x14ac:dyDescent="0.35">
      <c r="B490" s="2">
        <v>44907</v>
      </c>
      <c r="C490" s="1" t="s">
        <v>778</v>
      </c>
      <c r="D490" s="1" t="s">
        <v>218</v>
      </c>
      <c r="E490" s="1" t="s">
        <v>815</v>
      </c>
      <c r="F490" s="1" t="s">
        <v>13</v>
      </c>
      <c r="G490" s="1" t="s">
        <v>219</v>
      </c>
      <c r="H490" s="1" t="s">
        <v>15</v>
      </c>
      <c r="I490" s="1">
        <v>46</v>
      </c>
      <c r="J490" s="1" t="s">
        <v>167</v>
      </c>
      <c r="K490" s="1" t="s">
        <v>17</v>
      </c>
    </row>
    <row r="491" spans="2:11" ht="14.25" customHeight="1" x14ac:dyDescent="0.35">
      <c r="B491" s="2">
        <v>44909</v>
      </c>
      <c r="C491" s="1" t="s">
        <v>779</v>
      </c>
      <c r="D491" s="1" t="s">
        <v>169</v>
      </c>
      <c r="E491" s="1" t="s">
        <v>170</v>
      </c>
      <c r="F491" s="1" t="s">
        <v>13</v>
      </c>
      <c r="G491" s="1" t="s">
        <v>171</v>
      </c>
      <c r="H491" s="1" t="s">
        <v>30</v>
      </c>
      <c r="I491" s="1">
        <v>29</v>
      </c>
      <c r="J491" s="1" t="s">
        <v>31</v>
      </c>
      <c r="K491" s="1" t="s">
        <v>47</v>
      </c>
    </row>
    <row r="492" spans="2:11" ht="14.25" customHeight="1" x14ac:dyDescent="0.35">
      <c r="B492" s="2">
        <v>44910</v>
      </c>
      <c r="C492" s="1" t="s">
        <v>780</v>
      </c>
      <c r="D492" s="1" t="s">
        <v>44</v>
      </c>
      <c r="E492" s="1" t="s">
        <v>45</v>
      </c>
      <c r="F492" s="1" t="s">
        <v>13</v>
      </c>
      <c r="G492" s="1" t="s">
        <v>46</v>
      </c>
      <c r="H492" s="1" t="s">
        <v>15</v>
      </c>
      <c r="I492" s="1">
        <v>22</v>
      </c>
      <c r="J492" s="1" t="s">
        <v>52</v>
      </c>
      <c r="K492" s="1" t="s">
        <v>61</v>
      </c>
    </row>
    <row r="493" spans="2:11" ht="14.25" customHeight="1" x14ac:dyDescent="0.35">
      <c r="B493" s="2">
        <v>44910</v>
      </c>
      <c r="C493" s="1" t="s">
        <v>781</v>
      </c>
      <c r="D493" s="1" t="s">
        <v>518</v>
      </c>
      <c r="E493" s="1" t="s">
        <v>519</v>
      </c>
      <c r="F493" s="1" t="s">
        <v>13</v>
      </c>
      <c r="G493" s="1" t="s">
        <v>520</v>
      </c>
      <c r="H493" s="1" t="s">
        <v>30</v>
      </c>
      <c r="I493" s="1">
        <v>74</v>
      </c>
      <c r="J493" s="1" t="s">
        <v>66</v>
      </c>
      <c r="K493" s="1" t="s">
        <v>17</v>
      </c>
    </row>
    <row r="494" spans="2:11" ht="14.25" customHeight="1" x14ac:dyDescent="0.35">
      <c r="B494" s="2">
        <v>44911</v>
      </c>
      <c r="C494" s="1" t="s">
        <v>782</v>
      </c>
      <c r="D494" s="1" t="s">
        <v>100</v>
      </c>
      <c r="E494" s="1" t="s">
        <v>101</v>
      </c>
      <c r="F494" s="1" t="s">
        <v>13</v>
      </c>
      <c r="G494" s="1" t="s">
        <v>102</v>
      </c>
      <c r="H494" s="1" t="s">
        <v>15</v>
      </c>
      <c r="I494" s="1">
        <v>59</v>
      </c>
      <c r="J494" s="1" t="s">
        <v>57</v>
      </c>
      <c r="K494" s="1" t="s">
        <v>25</v>
      </c>
    </row>
    <row r="495" spans="2:11" ht="14.25" customHeight="1" x14ac:dyDescent="0.35">
      <c r="B495" s="2">
        <v>44911</v>
      </c>
      <c r="C495" s="1" t="s">
        <v>783</v>
      </c>
      <c r="D495" s="1" t="s">
        <v>196</v>
      </c>
      <c r="E495" s="1" t="s">
        <v>197</v>
      </c>
      <c r="F495" s="1" t="s">
        <v>13</v>
      </c>
      <c r="G495" s="1" t="s">
        <v>198</v>
      </c>
      <c r="H495" s="1" t="s">
        <v>30</v>
      </c>
      <c r="I495" s="1">
        <v>39</v>
      </c>
      <c r="J495" s="1" t="s">
        <v>151</v>
      </c>
      <c r="K495" s="1" t="s">
        <v>32</v>
      </c>
    </row>
    <row r="496" spans="2:11" ht="14.25" customHeight="1" x14ac:dyDescent="0.35">
      <c r="B496" s="2">
        <v>44912</v>
      </c>
      <c r="C496" s="1" t="s">
        <v>784</v>
      </c>
      <c r="D496" s="1" t="s">
        <v>59</v>
      </c>
      <c r="E496" s="1" t="s">
        <v>800</v>
      </c>
      <c r="F496" s="1" t="s">
        <v>13</v>
      </c>
      <c r="G496" s="1" t="s">
        <v>60</v>
      </c>
      <c r="H496" s="1" t="s">
        <v>15</v>
      </c>
      <c r="I496" s="1">
        <v>48</v>
      </c>
      <c r="J496" s="1" t="s">
        <v>42</v>
      </c>
      <c r="K496" s="1" t="s">
        <v>25</v>
      </c>
    </row>
    <row r="497" spans="2:11" ht="14.25" customHeight="1" x14ac:dyDescent="0.35">
      <c r="B497" s="2">
        <v>44913</v>
      </c>
      <c r="C497" s="1" t="s">
        <v>785</v>
      </c>
      <c r="D497" s="1" t="s">
        <v>19</v>
      </c>
      <c r="E497" s="1" t="s">
        <v>20</v>
      </c>
      <c r="F497" s="1" t="s">
        <v>21</v>
      </c>
      <c r="G497" s="1" t="s">
        <v>22</v>
      </c>
      <c r="H497" s="1" t="s">
        <v>23</v>
      </c>
      <c r="I497" s="1">
        <v>72</v>
      </c>
      <c r="J497" s="1" t="s">
        <v>42</v>
      </c>
      <c r="K497" s="1" t="s">
        <v>47</v>
      </c>
    </row>
    <row r="498" spans="2:11" ht="14.25" customHeight="1" x14ac:dyDescent="0.35">
      <c r="B498" s="2">
        <v>44914</v>
      </c>
      <c r="C498" s="1" t="s">
        <v>786</v>
      </c>
      <c r="D498" s="1" t="s">
        <v>205</v>
      </c>
      <c r="E498" s="1" t="s">
        <v>206</v>
      </c>
      <c r="F498" s="1" t="s">
        <v>13</v>
      </c>
      <c r="G498" s="1" t="s">
        <v>207</v>
      </c>
      <c r="H498" s="1" t="s">
        <v>15</v>
      </c>
      <c r="I498" s="1">
        <v>39</v>
      </c>
      <c r="J498" s="1" t="s">
        <v>66</v>
      </c>
      <c r="K498" s="1" t="s">
        <v>47</v>
      </c>
    </row>
    <row r="499" spans="2:11" ht="14.25" customHeight="1" x14ac:dyDescent="0.35">
      <c r="B499" s="2">
        <v>44916</v>
      </c>
      <c r="C499" s="1" t="s">
        <v>787</v>
      </c>
      <c r="D499" s="1" t="s">
        <v>178</v>
      </c>
      <c r="E499" s="1" t="s">
        <v>179</v>
      </c>
      <c r="F499" s="1" t="s">
        <v>13</v>
      </c>
      <c r="G499" s="1" t="s">
        <v>180</v>
      </c>
      <c r="H499" s="1" t="s">
        <v>30</v>
      </c>
      <c r="I499" s="1">
        <v>63</v>
      </c>
      <c r="J499" s="1" t="s">
        <v>31</v>
      </c>
      <c r="K499" s="1" t="s">
        <v>61</v>
      </c>
    </row>
    <row r="500" spans="2:11" ht="14.25" customHeight="1" x14ac:dyDescent="0.35">
      <c r="B500" s="2">
        <v>44917</v>
      </c>
      <c r="C500" s="1" t="s">
        <v>788</v>
      </c>
      <c r="D500" s="1" t="s">
        <v>34</v>
      </c>
      <c r="E500" s="1" t="s">
        <v>35</v>
      </c>
      <c r="F500" s="1" t="s">
        <v>13</v>
      </c>
      <c r="G500" s="1" t="s">
        <v>36</v>
      </c>
      <c r="H500" s="1" t="s">
        <v>23</v>
      </c>
      <c r="I500" s="1">
        <v>61</v>
      </c>
      <c r="J500" s="1" t="s">
        <v>167</v>
      </c>
      <c r="K500" s="1" t="s">
        <v>47</v>
      </c>
    </row>
    <row r="501" spans="2:11" ht="14.25" customHeight="1" x14ac:dyDescent="0.35">
      <c r="B501" s="2">
        <v>44917</v>
      </c>
      <c r="C501" s="1" t="s">
        <v>789</v>
      </c>
      <c r="D501" s="1" t="s">
        <v>647</v>
      </c>
      <c r="E501" s="1" t="s">
        <v>648</v>
      </c>
      <c r="F501" s="1" t="s">
        <v>21</v>
      </c>
      <c r="G501" s="1" t="s">
        <v>649</v>
      </c>
      <c r="H501" s="1" t="s">
        <v>23</v>
      </c>
      <c r="I501" s="1">
        <v>69</v>
      </c>
      <c r="J501" s="1" t="s">
        <v>42</v>
      </c>
      <c r="K501" s="1" t="s">
        <v>25</v>
      </c>
    </row>
    <row r="502" spans="2:11" ht="14.25" customHeight="1" x14ac:dyDescent="0.35">
      <c r="B502" s="2">
        <v>44918</v>
      </c>
      <c r="C502" s="1" t="s">
        <v>790</v>
      </c>
      <c r="D502" s="1" t="s">
        <v>169</v>
      </c>
      <c r="E502" s="1" t="s">
        <v>170</v>
      </c>
      <c r="F502" s="1" t="s">
        <v>13</v>
      </c>
      <c r="G502" s="1" t="s">
        <v>171</v>
      </c>
      <c r="H502" s="1" t="s">
        <v>30</v>
      </c>
      <c r="I502" s="1">
        <v>29</v>
      </c>
      <c r="J502" s="1" t="s">
        <v>66</v>
      </c>
      <c r="K502" s="1" t="s">
        <v>32</v>
      </c>
    </row>
    <row r="503" spans="2:11" ht="14.25" customHeight="1" x14ac:dyDescent="0.35">
      <c r="B503" s="2">
        <v>44918</v>
      </c>
      <c r="C503" s="1" t="s">
        <v>791</v>
      </c>
      <c r="D503" s="1" t="s">
        <v>44</v>
      </c>
      <c r="E503" s="1" t="s">
        <v>45</v>
      </c>
      <c r="F503" s="1" t="s">
        <v>13</v>
      </c>
      <c r="G503" s="1" t="s">
        <v>46</v>
      </c>
      <c r="H503" s="1" t="s">
        <v>15</v>
      </c>
      <c r="I503" s="1">
        <v>22</v>
      </c>
      <c r="J503" s="1" t="s">
        <v>151</v>
      </c>
      <c r="K503" s="1" t="s">
        <v>47</v>
      </c>
    </row>
    <row r="504" spans="2:11" ht="14.25" customHeight="1" x14ac:dyDescent="0.35">
      <c r="B504" s="2">
        <v>44919</v>
      </c>
      <c r="C504" s="1" t="s">
        <v>792</v>
      </c>
      <c r="D504" s="1" t="s">
        <v>244</v>
      </c>
      <c r="E504" s="1" t="s">
        <v>245</v>
      </c>
      <c r="F504" s="1" t="s">
        <v>21</v>
      </c>
      <c r="G504" s="1" t="s">
        <v>246</v>
      </c>
      <c r="H504" s="1" t="s">
        <v>15</v>
      </c>
      <c r="I504" s="1">
        <v>29</v>
      </c>
      <c r="J504" s="1" t="s">
        <v>52</v>
      </c>
      <c r="K504" s="1" t="s">
        <v>61</v>
      </c>
    </row>
    <row r="505" spans="2:11" ht="14.25" customHeight="1" x14ac:dyDescent="0.35">
      <c r="B505" s="2">
        <v>44920</v>
      </c>
      <c r="C505" s="1" t="s">
        <v>793</v>
      </c>
      <c r="D505" s="1" t="s">
        <v>133</v>
      </c>
      <c r="E505" s="1" t="s">
        <v>134</v>
      </c>
      <c r="F505" s="1" t="s">
        <v>13</v>
      </c>
      <c r="G505" s="1" t="s">
        <v>135</v>
      </c>
      <c r="H505" s="1" t="s">
        <v>23</v>
      </c>
      <c r="I505" s="1">
        <v>68</v>
      </c>
      <c r="J505" s="1" t="s">
        <v>42</v>
      </c>
      <c r="K505" s="1" t="s">
        <v>47</v>
      </c>
    </row>
    <row r="506" spans="2:11" ht="14.25" customHeight="1" x14ac:dyDescent="0.35">
      <c r="B506" s="2">
        <v>44921</v>
      </c>
      <c r="C506" s="1" t="s">
        <v>794</v>
      </c>
      <c r="D506" s="1" t="s">
        <v>79</v>
      </c>
      <c r="E506" s="1" t="s">
        <v>80</v>
      </c>
      <c r="F506" s="1" t="s">
        <v>21</v>
      </c>
      <c r="G506" s="1" t="s">
        <v>81</v>
      </c>
      <c r="H506" s="1" t="s">
        <v>23</v>
      </c>
      <c r="I506" s="1">
        <v>61</v>
      </c>
      <c r="J506" s="1" t="s">
        <v>37</v>
      </c>
      <c r="K506" s="1" t="s">
        <v>61</v>
      </c>
    </row>
    <row r="507" spans="2:11" ht="14.25" customHeight="1" x14ac:dyDescent="0.35">
      <c r="B507" s="2">
        <v>44923</v>
      </c>
      <c r="C507" s="1" t="s">
        <v>795</v>
      </c>
      <c r="D507" s="1" t="s">
        <v>54</v>
      </c>
      <c r="E507" s="1" t="s">
        <v>55</v>
      </c>
      <c r="F507" s="1" t="s">
        <v>21</v>
      </c>
      <c r="G507" s="1" t="s">
        <v>56</v>
      </c>
      <c r="H507" s="1" t="s">
        <v>23</v>
      </c>
      <c r="I507" s="1">
        <v>28</v>
      </c>
      <c r="J507" s="1" t="s">
        <v>66</v>
      </c>
      <c r="K507" s="1" t="s">
        <v>25</v>
      </c>
    </row>
    <row r="508" spans="2:11" ht="14.25" customHeight="1" x14ac:dyDescent="0.35">
      <c r="B508" s="2">
        <v>44925</v>
      </c>
      <c r="C508" s="1" t="s">
        <v>796</v>
      </c>
      <c r="D508" s="1" t="s">
        <v>59</v>
      </c>
      <c r="E508" s="1" t="s">
        <v>800</v>
      </c>
      <c r="F508" s="1" t="s">
        <v>13</v>
      </c>
      <c r="G508" s="1" t="s">
        <v>60</v>
      </c>
      <c r="H508" s="1" t="s">
        <v>15</v>
      </c>
      <c r="I508" s="1">
        <v>48</v>
      </c>
      <c r="J508" s="1" t="s">
        <v>167</v>
      </c>
      <c r="K508" s="1" t="s">
        <v>25</v>
      </c>
    </row>
    <row r="509" spans="2:11" ht="14.25" customHeight="1" x14ac:dyDescent="0.35">
      <c r="B509" s="2">
        <v>44926</v>
      </c>
      <c r="C509" s="1" t="s">
        <v>797</v>
      </c>
      <c r="D509" s="1" t="s">
        <v>223</v>
      </c>
      <c r="E509" s="1" t="s">
        <v>224</v>
      </c>
      <c r="F509" s="1" t="s">
        <v>21</v>
      </c>
      <c r="G509" s="1" t="s">
        <v>225</v>
      </c>
      <c r="H509" s="1" t="s">
        <v>30</v>
      </c>
      <c r="I509" s="1">
        <v>68</v>
      </c>
      <c r="J509" s="1" t="s">
        <v>151</v>
      </c>
      <c r="K509" s="1" t="s">
        <v>17</v>
      </c>
    </row>
    <row r="510" spans="2:11" ht="14.25" customHeight="1" x14ac:dyDescent="0.35">
      <c r="B510" s="2">
        <v>44926</v>
      </c>
      <c r="C510" s="1" t="s">
        <v>798</v>
      </c>
      <c r="D510" s="1" t="s">
        <v>178</v>
      </c>
      <c r="E510" s="1" t="s">
        <v>179</v>
      </c>
      <c r="F510" s="1" t="s">
        <v>13</v>
      </c>
      <c r="G510" s="1" t="s">
        <v>180</v>
      </c>
      <c r="H510" s="1" t="s">
        <v>30</v>
      </c>
      <c r="I510" s="1">
        <v>63</v>
      </c>
      <c r="J510" s="1" t="s">
        <v>24</v>
      </c>
      <c r="K510" s="1" t="s">
        <v>47</v>
      </c>
    </row>
    <row r="511" spans="2:11" ht="14.25" customHeight="1" x14ac:dyDescent="0.35"/>
    <row r="512" spans="2:11"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1:D1000"/>
  <sheetViews>
    <sheetView zoomScale="80" zoomScaleNormal="80" workbookViewId="0">
      <selection activeCell="B14" sqref="B14"/>
    </sheetView>
  </sheetViews>
  <sheetFormatPr defaultColWidth="14.453125" defaultRowHeight="15" customHeight="1" x14ac:dyDescent="0.35"/>
  <cols>
    <col min="1" max="2" width="8.7265625" customWidth="1"/>
    <col min="3" max="3" width="15.1796875" customWidth="1"/>
    <col min="4" max="4" width="11.1796875" customWidth="1"/>
    <col min="5" max="26" width="8.7265625" customWidth="1"/>
  </cols>
  <sheetData>
    <row r="1" spans="3:4" ht="14.25" customHeight="1" x14ac:dyDescent="0.35"/>
    <row r="2" spans="3:4" ht="14.25" customHeight="1" x14ac:dyDescent="0.35">
      <c r="C2" s="1" t="s">
        <v>1</v>
      </c>
      <c r="D2" s="1" t="s">
        <v>799</v>
      </c>
    </row>
    <row r="3" spans="3:4" ht="14.25" customHeight="1" x14ac:dyDescent="0.35">
      <c r="C3" s="1" t="s">
        <v>33</v>
      </c>
      <c r="D3" s="3">
        <v>153624</v>
      </c>
    </row>
    <row r="4" spans="3:4" ht="14.25" customHeight="1" x14ac:dyDescent="0.35">
      <c r="C4" s="1" t="s">
        <v>516</v>
      </c>
      <c r="D4" s="3">
        <v>181022</v>
      </c>
    </row>
    <row r="5" spans="3:4" ht="14.25" customHeight="1" x14ac:dyDescent="0.35">
      <c r="C5" s="1" t="s">
        <v>706</v>
      </c>
      <c r="D5" s="3">
        <v>81312</v>
      </c>
    </row>
    <row r="6" spans="3:4" ht="14.25" customHeight="1" x14ac:dyDescent="0.35">
      <c r="C6" s="1" t="s">
        <v>397</v>
      </c>
      <c r="D6" s="3">
        <v>85219</v>
      </c>
    </row>
    <row r="7" spans="3:4" ht="14.25" customHeight="1" x14ac:dyDescent="0.35">
      <c r="C7" s="1" t="s">
        <v>600</v>
      </c>
      <c r="D7" s="3">
        <v>83048</v>
      </c>
    </row>
    <row r="8" spans="3:4" ht="14.25" customHeight="1" x14ac:dyDescent="0.35">
      <c r="C8" s="1" t="s">
        <v>791</v>
      </c>
      <c r="D8" s="3">
        <v>11844</v>
      </c>
    </row>
    <row r="9" spans="3:4" ht="14.25" customHeight="1" x14ac:dyDescent="0.35">
      <c r="C9" s="1" t="s">
        <v>720</v>
      </c>
      <c r="D9" s="3">
        <v>36291</v>
      </c>
    </row>
    <row r="10" spans="3:4" ht="14.25" customHeight="1" x14ac:dyDescent="0.35">
      <c r="C10" s="1" t="s">
        <v>606</v>
      </c>
      <c r="D10" s="3">
        <v>163819</v>
      </c>
    </row>
    <row r="11" spans="3:4" ht="14.25" customHeight="1" x14ac:dyDescent="0.35">
      <c r="C11" s="1" t="s">
        <v>487</v>
      </c>
      <c r="D11" s="3">
        <v>181190</v>
      </c>
    </row>
    <row r="12" spans="3:4" ht="14.25" customHeight="1" x14ac:dyDescent="0.35">
      <c r="C12" s="1" t="s">
        <v>504</v>
      </c>
      <c r="D12" s="3">
        <v>69644</v>
      </c>
    </row>
    <row r="13" spans="3:4" ht="14.25" customHeight="1" x14ac:dyDescent="0.35">
      <c r="C13" s="1" t="s">
        <v>465</v>
      </c>
      <c r="D13" s="3">
        <v>136786</v>
      </c>
    </row>
    <row r="14" spans="3:4" ht="14.25" customHeight="1" x14ac:dyDescent="0.35">
      <c r="C14" s="1" t="s">
        <v>534</v>
      </c>
      <c r="D14" s="3">
        <v>184598</v>
      </c>
    </row>
    <row r="15" spans="3:4" ht="14.25" customHeight="1" x14ac:dyDescent="0.35">
      <c r="C15" s="1" t="s">
        <v>669</v>
      </c>
      <c r="D15" s="3">
        <v>148510</v>
      </c>
    </row>
    <row r="16" spans="3:4" ht="14.25" customHeight="1" x14ac:dyDescent="0.35">
      <c r="C16" s="1" t="s">
        <v>702</v>
      </c>
      <c r="D16" s="3">
        <v>181788</v>
      </c>
    </row>
    <row r="17" spans="3:4" ht="14.25" customHeight="1" x14ac:dyDescent="0.35">
      <c r="C17" s="1" t="s">
        <v>417</v>
      </c>
      <c r="D17" s="3">
        <v>180179</v>
      </c>
    </row>
    <row r="18" spans="3:4" ht="14.25" customHeight="1" x14ac:dyDescent="0.35">
      <c r="C18" s="1" t="s">
        <v>673</v>
      </c>
      <c r="D18" s="3">
        <v>56917</v>
      </c>
    </row>
    <row r="19" spans="3:4" ht="14.25" customHeight="1" x14ac:dyDescent="0.35">
      <c r="C19" s="1" t="s">
        <v>641</v>
      </c>
      <c r="D19" s="3">
        <v>139662</v>
      </c>
    </row>
    <row r="20" spans="3:4" ht="14.25" customHeight="1" x14ac:dyDescent="0.35">
      <c r="C20" s="1" t="s">
        <v>750</v>
      </c>
      <c r="D20" s="3">
        <v>36666</v>
      </c>
    </row>
    <row r="21" spans="3:4" ht="14.25" customHeight="1" x14ac:dyDescent="0.35">
      <c r="C21" s="1" t="s">
        <v>564</v>
      </c>
      <c r="D21" s="3">
        <v>147729</v>
      </c>
    </row>
    <row r="22" spans="3:4" ht="14.25" customHeight="1" x14ac:dyDescent="0.35">
      <c r="C22" s="1" t="s">
        <v>538</v>
      </c>
      <c r="D22" s="3">
        <v>143446</v>
      </c>
    </row>
    <row r="23" spans="3:4" ht="14.25" customHeight="1" x14ac:dyDescent="0.35">
      <c r="C23" s="1" t="s">
        <v>680</v>
      </c>
      <c r="D23" s="3">
        <v>167637</v>
      </c>
    </row>
    <row r="24" spans="3:4" ht="14.25" customHeight="1" x14ac:dyDescent="0.35">
      <c r="C24" s="1" t="s">
        <v>746</v>
      </c>
      <c r="D24" s="3">
        <v>16185</v>
      </c>
    </row>
    <row r="25" spans="3:4" ht="14.25" customHeight="1" x14ac:dyDescent="0.35">
      <c r="C25" s="1" t="s">
        <v>654</v>
      </c>
      <c r="D25" s="3">
        <v>25464</v>
      </c>
    </row>
    <row r="26" spans="3:4" ht="14.25" customHeight="1" x14ac:dyDescent="0.35">
      <c r="C26" s="1" t="s">
        <v>797</v>
      </c>
      <c r="D26" s="3">
        <v>118571</v>
      </c>
    </row>
    <row r="27" spans="3:4" ht="14.25" customHeight="1" x14ac:dyDescent="0.35">
      <c r="C27" s="1" t="s">
        <v>588</v>
      </c>
      <c r="D27" s="3">
        <v>168014</v>
      </c>
    </row>
    <row r="28" spans="3:4" ht="14.25" customHeight="1" x14ac:dyDescent="0.35">
      <c r="C28" s="1" t="s">
        <v>743</v>
      </c>
      <c r="D28" s="3">
        <v>155478</v>
      </c>
    </row>
    <row r="29" spans="3:4" ht="14.25" customHeight="1" x14ac:dyDescent="0.35">
      <c r="C29" s="1" t="s">
        <v>645</v>
      </c>
      <c r="D29" s="3">
        <v>125867</v>
      </c>
    </row>
    <row r="30" spans="3:4" ht="14.25" customHeight="1" x14ac:dyDescent="0.35">
      <c r="C30" s="1" t="s">
        <v>622</v>
      </c>
      <c r="D30" s="3">
        <v>187570</v>
      </c>
    </row>
    <row r="31" spans="3:4" ht="14.25" customHeight="1" x14ac:dyDescent="0.35">
      <c r="C31" s="1" t="s">
        <v>486</v>
      </c>
      <c r="D31" s="3">
        <v>132161</v>
      </c>
    </row>
    <row r="32" spans="3:4" ht="14.25" customHeight="1" x14ac:dyDescent="0.35">
      <c r="C32" s="1" t="s">
        <v>535</v>
      </c>
      <c r="D32" s="3">
        <v>11047</v>
      </c>
    </row>
    <row r="33" spans="3:4" ht="14.25" customHeight="1" x14ac:dyDescent="0.35">
      <c r="C33" s="1" t="s">
        <v>692</v>
      </c>
      <c r="D33" s="3">
        <v>121408</v>
      </c>
    </row>
    <row r="34" spans="3:4" ht="14.25" customHeight="1" x14ac:dyDescent="0.35">
      <c r="C34" s="1" t="s">
        <v>312</v>
      </c>
      <c r="D34" s="3">
        <v>24704</v>
      </c>
    </row>
    <row r="35" spans="3:4" ht="14.25" customHeight="1" x14ac:dyDescent="0.35">
      <c r="C35" s="1" t="s">
        <v>551</v>
      </c>
      <c r="D35" s="3">
        <v>80370</v>
      </c>
    </row>
    <row r="36" spans="3:4" ht="14.25" customHeight="1" x14ac:dyDescent="0.35">
      <c r="C36" s="1" t="s">
        <v>294</v>
      </c>
      <c r="D36" s="3">
        <v>182198</v>
      </c>
    </row>
    <row r="37" spans="3:4" ht="14.25" customHeight="1" x14ac:dyDescent="0.35">
      <c r="C37" s="1" t="s">
        <v>785</v>
      </c>
      <c r="D37" s="3">
        <v>165640</v>
      </c>
    </row>
    <row r="38" spans="3:4" ht="14.25" customHeight="1" x14ac:dyDescent="0.35">
      <c r="C38" s="1" t="s">
        <v>478</v>
      </c>
      <c r="D38" s="3">
        <v>13225</v>
      </c>
    </row>
    <row r="39" spans="3:4" ht="14.25" customHeight="1" x14ac:dyDescent="0.35">
      <c r="C39" s="1" t="s">
        <v>220</v>
      </c>
      <c r="D39" s="3">
        <v>54078</v>
      </c>
    </row>
    <row r="40" spans="3:4" ht="14.25" customHeight="1" x14ac:dyDescent="0.35">
      <c r="C40" s="1" t="s">
        <v>598</v>
      </c>
      <c r="D40" s="3">
        <v>184568</v>
      </c>
    </row>
    <row r="41" spans="3:4" ht="14.25" customHeight="1" x14ac:dyDescent="0.35">
      <c r="C41" s="1" t="s">
        <v>798</v>
      </c>
      <c r="D41" s="3">
        <v>17970</v>
      </c>
    </row>
    <row r="42" spans="3:4" ht="14.25" customHeight="1" x14ac:dyDescent="0.35">
      <c r="C42" s="1" t="s">
        <v>652</v>
      </c>
      <c r="D42" s="3">
        <v>91596</v>
      </c>
    </row>
    <row r="43" spans="3:4" ht="14.25" customHeight="1" x14ac:dyDescent="0.35">
      <c r="C43" s="1" t="s">
        <v>274</v>
      </c>
      <c r="D43" s="3">
        <v>185585</v>
      </c>
    </row>
    <row r="44" spans="3:4" ht="14.25" customHeight="1" x14ac:dyDescent="0.35">
      <c r="C44" s="1" t="s">
        <v>789</v>
      </c>
      <c r="D44" s="3">
        <v>124486</v>
      </c>
    </row>
    <row r="45" spans="3:4" ht="14.25" customHeight="1" x14ac:dyDescent="0.35">
      <c r="C45" s="1" t="s">
        <v>43</v>
      </c>
      <c r="D45" s="3">
        <v>36016</v>
      </c>
    </row>
    <row r="46" spans="3:4" ht="14.25" customHeight="1" x14ac:dyDescent="0.35">
      <c r="C46" s="1" t="s">
        <v>677</v>
      </c>
      <c r="D46" s="3">
        <v>164234</v>
      </c>
    </row>
    <row r="47" spans="3:4" ht="14.25" customHeight="1" x14ac:dyDescent="0.35">
      <c r="C47" s="1" t="s">
        <v>699</v>
      </c>
      <c r="D47" s="3">
        <v>34700</v>
      </c>
    </row>
    <row r="48" spans="3:4" ht="14.25" customHeight="1" x14ac:dyDescent="0.35">
      <c r="C48" s="1" t="s">
        <v>194</v>
      </c>
      <c r="D48" s="3">
        <v>8145</v>
      </c>
    </row>
    <row r="49" spans="3:4" ht="14.25" customHeight="1" x14ac:dyDescent="0.35">
      <c r="C49" s="1" t="s">
        <v>741</v>
      </c>
      <c r="D49" s="3">
        <v>131046</v>
      </c>
    </row>
    <row r="50" spans="3:4" ht="14.25" customHeight="1" x14ac:dyDescent="0.35">
      <c r="C50" s="1" t="s">
        <v>513</v>
      </c>
      <c r="D50" s="3">
        <v>153276</v>
      </c>
    </row>
    <row r="51" spans="3:4" ht="14.25" customHeight="1" x14ac:dyDescent="0.35">
      <c r="C51" s="1" t="s">
        <v>729</v>
      </c>
      <c r="D51" s="3">
        <v>138471</v>
      </c>
    </row>
    <row r="52" spans="3:4" ht="14.25" customHeight="1" x14ac:dyDescent="0.35">
      <c r="C52" s="1" t="s">
        <v>584</v>
      </c>
      <c r="D52" s="3">
        <v>119415</v>
      </c>
    </row>
    <row r="53" spans="3:4" ht="14.25" customHeight="1" x14ac:dyDescent="0.35">
      <c r="C53" s="1" t="s">
        <v>774</v>
      </c>
      <c r="D53" s="3">
        <v>15162</v>
      </c>
    </row>
    <row r="54" spans="3:4" ht="14.25" customHeight="1" x14ac:dyDescent="0.35">
      <c r="C54" s="1" t="s">
        <v>524</v>
      </c>
      <c r="D54" s="3">
        <v>5990</v>
      </c>
    </row>
    <row r="55" spans="3:4" ht="14.25" customHeight="1" x14ac:dyDescent="0.35">
      <c r="C55" s="1" t="s">
        <v>661</v>
      </c>
      <c r="D55" s="3">
        <v>182735</v>
      </c>
    </row>
    <row r="56" spans="3:4" ht="14.25" customHeight="1" x14ac:dyDescent="0.35">
      <c r="C56" s="1" t="s">
        <v>766</v>
      </c>
      <c r="D56" s="3">
        <v>21354</v>
      </c>
    </row>
    <row r="57" spans="3:4" ht="14.25" customHeight="1" x14ac:dyDescent="0.35">
      <c r="C57" s="1" t="s">
        <v>581</v>
      </c>
      <c r="D57" s="3">
        <v>132792</v>
      </c>
    </row>
    <row r="58" spans="3:4" ht="14.25" customHeight="1" x14ac:dyDescent="0.35">
      <c r="C58" s="1" t="s">
        <v>323</v>
      </c>
      <c r="D58" s="3">
        <v>85467</v>
      </c>
    </row>
    <row r="59" spans="3:4" ht="14.25" customHeight="1" x14ac:dyDescent="0.35">
      <c r="C59" s="1" t="s">
        <v>541</v>
      </c>
      <c r="D59" s="3">
        <v>6237</v>
      </c>
    </row>
    <row r="60" spans="3:4" ht="14.25" customHeight="1" x14ac:dyDescent="0.35">
      <c r="C60" s="1" t="s">
        <v>491</v>
      </c>
      <c r="D60" s="3">
        <v>26381</v>
      </c>
    </row>
    <row r="61" spans="3:4" ht="14.25" customHeight="1" x14ac:dyDescent="0.35">
      <c r="C61" s="1" t="s">
        <v>411</v>
      </c>
      <c r="D61" s="3">
        <v>41363</v>
      </c>
    </row>
    <row r="62" spans="3:4" ht="14.25" customHeight="1" x14ac:dyDescent="0.35">
      <c r="C62" s="1" t="s">
        <v>747</v>
      </c>
      <c r="D62" s="3">
        <v>43836</v>
      </c>
    </row>
    <row r="63" spans="3:4" ht="14.25" customHeight="1" x14ac:dyDescent="0.35">
      <c r="C63" s="1" t="s">
        <v>386</v>
      </c>
      <c r="D63" s="3">
        <v>28301</v>
      </c>
    </row>
    <row r="64" spans="3:4" ht="14.25" customHeight="1" x14ac:dyDescent="0.35">
      <c r="C64" s="1" t="s">
        <v>346</v>
      </c>
      <c r="D64" s="3">
        <v>159903</v>
      </c>
    </row>
    <row r="65" spans="3:4" ht="14.25" customHeight="1" x14ac:dyDescent="0.35">
      <c r="C65" s="1" t="s">
        <v>240</v>
      </c>
      <c r="D65" s="3">
        <v>17398</v>
      </c>
    </row>
    <row r="66" spans="3:4" ht="14.25" customHeight="1" x14ac:dyDescent="0.35">
      <c r="C66" s="1" t="s">
        <v>298</v>
      </c>
      <c r="D66" s="3">
        <v>40687</v>
      </c>
    </row>
    <row r="67" spans="3:4" ht="14.25" customHeight="1" x14ac:dyDescent="0.35">
      <c r="C67" s="1" t="s">
        <v>186</v>
      </c>
      <c r="D67" s="3">
        <v>53010</v>
      </c>
    </row>
    <row r="68" spans="3:4" ht="14.25" customHeight="1" x14ac:dyDescent="0.35">
      <c r="C68" s="1" t="s">
        <v>728</v>
      </c>
      <c r="D68" s="3">
        <v>63523</v>
      </c>
    </row>
    <row r="69" spans="3:4" ht="14.25" customHeight="1" x14ac:dyDescent="0.35">
      <c r="C69" s="1" t="s">
        <v>625</v>
      </c>
      <c r="D69" s="3">
        <v>125905</v>
      </c>
    </row>
    <row r="70" spans="3:4" ht="14.25" customHeight="1" x14ac:dyDescent="0.35">
      <c r="C70" s="1" t="s">
        <v>85</v>
      </c>
      <c r="D70" s="3">
        <v>132510</v>
      </c>
    </row>
    <row r="71" spans="3:4" ht="14.25" customHeight="1" x14ac:dyDescent="0.35">
      <c r="C71" s="1" t="s">
        <v>700</v>
      </c>
      <c r="D71" s="3">
        <v>66175</v>
      </c>
    </row>
    <row r="72" spans="3:4" ht="14.25" customHeight="1" x14ac:dyDescent="0.35">
      <c r="C72" s="1" t="s">
        <v>712</v>
      </c>
      <c r="D72" s="3">
        <v>103758</v>
      </c>
    </row>
    <row r="73" spans="3:4" ht="14.25" customHeight="1" x14ac:dyDescent="0.35">
      <c r="C73" s="1" t="s">
        <v>451</v>
      </c>
      <c r="D73" s="3">
        <v>23489</v>
      </c>
    </row>
    <row r="74" spans="3:4" ht="14.25" customHeight="1" x14ac:dyDescent="0.35">
      <c r="C74" s="1" t="s">
        <v>786</v>
      </c>
      <c r="D74" s="3">
        <v>111154</v>
      </c>
    </row>
    <row r="75" spans="3:4" ht="14.25" customHeight="1" x14ac:dyDescent="0.35">
      <c r="C75" s="1" t="s">
        <v>685</v>
      </c>
      <c r="D75" s="3">
        <v>33725</v>
      </c>
    </row>
    <row r="76" spans="3:4" ht="14.25" customHeight="1" x14ac:dyDescent="0.35">
      <c r="C76" s="1" t="s">
        <v>666</v>
      </c>
      <c r="D76" s="3">
        <v>122851</v>
      </c>
    </row>
    <row r="77" spans="3:4" ht="14.25" customHeight="1" x14ac:dyDescent="0.35">
      <c r="C77" s="1" t="s">
        <v>381</v>
      </c>
      <c r="D77" s="3">
        <v>46472</v>
      </c>
    </row>
    <row r="78" spans="3:4" ht="14.25" customHeight="1" x14ac:dyDescent="0.35">
      <c r="C78" s="1" t="s">
        <v>124</v>
      </c>
      <c r="D78" s="3">
        <v>124432</v>
      </c>
    </row>
    <row r="79" spans="3:4" ht="14.25" customHeight="1" x14ac:dyDescent="0.35">
      <c r="C79" s="1" t="s">
        <v>579</v>
      </c>
      <c r="D79" s="3">
        <v>176107</v>
      </c>
    </row>
    <row r="80" spans="3:4" ht="14.25" customHeight="1" x14ac:dyDescent="0.35">
      <c r="C80" s="1" t="s">
        <v>576</v>
      </c>
      <c r="D80" s="3">
        <v>60558</v>
      </c>
    </row>
    <row r="81" spans="3:4" ht="14.25" customHeight="1" x14ac:dyDescent="0.35">
      <c r="C81" s="1" t="s">
        <v>589</v>
      </c>
      <c r="D81" s="3">
        <v>43851</v>
      </c>
    </row>
    <row r="82" spans="3:4" ht="14.25" customHeight="1" x14ac:dyDescent="0.35">
      <c r="C82" s="1" t="s">
        <v>763</v>
      </c>
      <c r="D82" s="3">
        <v>133114</v>
      </c>
    </row>
    <row r="83" spans="3:4" ht="14.25" customHeight="1" x14ac:dyDescent="0.35">
      <c r="C83" s="1" t="s">
        <v>480</v>
      </c>
      <c r="D83" s="3">
        <v>174296</v>
      </c>
    </row>
    <row r="84" spans="3:4" ht="14.25" customHeight="1" x14ac:dyDescent="0.35">
      <c r="C84" s="1" t="s">
        <v>571</v>
      </c>
      <c r="D84" s="3">
        <v>97205</v>
      </c>
    </row>
    <row r="85" spans="3:4" ht="14.25" customHeight="1" x14ac:dyDescent="0.35">
      <c r="C85" s="1" t="s">
        <v>689</v>
      </c>
      <c r="D85" s="3">
        <v>69699</v>
      </c>
    </row>
    <row r="86" spans="3:4" ht="14.25" customHeight="1" x14ac:dyDescent="0.35">
      <c r="C86" s="1" t="s">
        <v>371</v>
      </c>
      <c r="D86" s="3">
        <v>138550</v>
      </c>
    </row>
    <row r="87" spans="3:4" ht="14.25" customHeight="1" x14ac:dyDescent="0.35">
      <c r="C87" s="1" t="s">
        <v>635</v>
      </c>
      <c r="D87" s="3">
        <v>21265</v>
      </c>
    </row>
    <row r="88" spans="3:4" ht="14.25" customHeight="1" x14ac:dyDescent="0.35">
      <c r="C88" s="1" t="s">
        <v>128</v>
      </c>
      <c r="D88" s="3">
        <v>107133</v>
      </c>
    </row>
    <row r="89" spans="3:4" ht="14.25" customHeight="1" x14ac:dyDescent="0.35">
      <c r="C89" s="1" t="s">
        <v>745</v>
      </c>
      <c r="D89" s="3">
        <v>28895</v>
      </c>
    </row>
    <row r="90" spans="3:4" ht="14.25" customHeight="1" x14ac:dyDescent="0.35">
      <c r="C90" s="1" t="s">
        <v>695</v>
      </c>
      <c r="D90" s="3">
        <v>183111</v>
      </c>
    </row>
    <row r="91" spans="3:4" ht="14.25" customHeight="1" x14ac:dyDescent="0.35">
      <c r="C91" s="1" t="s">
        <v>514</v>
      </c>
      <c r="D91" s="3">
        <v>117265</v>
      </c>
    </row>
    <row r="92" spans="3:4" ht="14.25" customHeight="1" x14ac:dyDescent="0.35">
      <c r="C92" s="1" t="s">
        <v>153</v>
      </c>
      <c r="D92" s="3">
        <v>68762</v>
      </c>
    </row>
    <row r="93" spans="3:4" ht="14.25" customHeight="1" x14ac:dyDescent="0.35">
      <c r="C93" s="1" t="s">
        <v>414</v>
      </c>
      <c r="D93" s="3">
        <v>32491</v>
      </c>
    </row>
    <row r="94" spans="3:4" ht="14.25" customHeight="1" x14ac:dyDescent="0.35">
      <c r="C94" s="1" t="s">
        <v>731</v>
      </c>
      <c r="D94" s="3">
        <v>96700</v>
      </c>
    </row>
    <row r="95" spans="3:4" ht="14.25" customHeight="1" x14ac:dyDescent="0.35">
      <c r="C95" s="1" t="s">
        <v>237</v>
      </c>
      <c r="D95" s="3">
        <v>80306</v>
      </c>
    </row>
    <row r="96" spans="3:4" ht="14.25" customHeight="1" x14ac:dyDescent="0.35">
      <c r="C96" s="1" t="s">
        <v>402</v>
      </c>
      <c r="D96" s="3">
        <v>165153</v>
      </c>
    </row>
    <row r="97" spans="3:4" ht="14.25" customHeight="1" x14ac:dyDescent="0.35">
      <c r="C97" s="1" t="s">
        <v>311</v>
      </c>
      <c r="D97" s="3">
        <v>86635</v>
      </c>
    </row>
    <row r="98" spans="3:4" ht="14.25" customHeight="1" x14ac:dyDescent="0.35">
      <c r="C98" s="1" t="s">
        <v>148</v>
      </c>
      <c r="D98" s="3">
        <v>127046</v>
      </c>
    </row>
    <row r="99" spans="3:4" ht="14.25" customHeight="1" x14ac:dyDescent="0.35">
      <c r="C99" s="1" t="s">
        <v>441</v>
      </c>
      <c r="D99" s="3">
        <v>120178</v>
      </c>
    </row>
    <row r="100" spans="3:4" ht="14.25" customHeight="1" x14ac:dyDescent="0.35">
      <c r="C100" s="1" t="s">
        <v>78</v>
      </c>
      <c r="D100" s="3">
        <v>125612</v>
      </c>
    </row>
    <row r="101" spans="3:4" ht="14.25" customHeight="1" x14ac:dyDescent="0.35">
      <c r="C101" s="1" t="s">
        <v>570</v>
      </c>
      <c r="D101" s="3">
        <v>83538</v>
      </c>
    </row>
    <row r="102" spans="3:4" ht="14.25" customHeight="1" x14ac:dyDescent="0.35">
      <c r="C102" s="1" t="s">
        <v>549</v>
      </c>
      <c r="D102" s="3">
        <v>95070</v>
      </c>
    </row>
    <row r="103" spans="3:4" ht="14.25" customHeight="1" x14ac:dyDescent="0.35">
      <c r="C103" s="1" t="s">
        <v>103</v>
      </c>
      <c r="D103" s="3">
        <v>24533</v>
      </c>
    </row>
    <row r="104" spans="3:4" ht="14.25" customHeight="1" x14ac:dyDescent="0.35">
      <c r="C104" s="1" t="s">
        <v>164</v>
      </c>
      <c r="D104" s="3">
        <v>18396</v>
      </c>
    </row>
    <row r="105" spans="3:4" ht="14.25" customHeight="1" x14ac:dyDescent="0.35">
      <c r="C105" s="1" t="s">
        <v>490</v>
      </c>
      <c r="D105" s="3">
        <v>115254</v>
      </c>
    </row>
    <row r="106" spans="3:4" ht="14.25" customHeight="1" x14ac:dyDescent="0.35">
      <c r="C106" s="1" t="s">
        <v>651</v>
      </c>
      <c r="D106" s="3">
        <v>47651</v>
      </c>
    </row>
    <row r="107" spans="3:4" ht="14.25" customHeight="1" x14ac:dyDescent="0.35">
      <c r="C107" s="1" t="s">
        <v>374</v>
      </c>
      <c r="D107" s="3">
        <v>181930</v>
      </c>
    </row>
    <row r="108" spans="3:4" ht="14.25" customHeight="1" x14ac:dyDescent="0.35">
      <c r="C108" s="1" t="s">
        <v>380</v>
      </c>
      <c r="D108" s="3">
        <v>138007</v>
      </c>
    </row>
    <row r="109" spans="3:4" ht="14.25" customHeight="1" x14ac:dyDescent="0.35">
      <c r="C109" s="1" t="s">
        <v>509</v>
      </c>
      <c r="D109" s="3">
        <v>64122</v>
      </c>
    </row>
    <row r="110" spans="3:4" ht="14.25" customHeight="1" x14ac:dyDescent="0.35">
      <c r="C110" s="1" t="s">
        <v>372</v>
      </c>
      <c r="D110" s="3">
        <v>41060</v>
      </c>
    </row>
    <row r="111" spans="3:4" ht="14.25" customHeight="1" x14ac:dyDescent="0.35">
      <c r="C111" s="1" t="s">
        <v>415</v>
      </c>
      <c r="D111" s="3">
        <v>15334</v>
      </c>
    </row>
    <row r="112" spans="3:4" ht="14.25" customHeight="1" x14ac:dyDescent="0.35">
      <c r="C112" s="1" t="s">
        <v>734</v>
      </c>
      <c r="D112" s="3">
        <v>169798</v>
      </c>
    </row>
    <row r="113" spans="3:4" ht="14.25" customHeight="1" x14ac:dyDescent="0.35">
      <c r="C113" s="1" t="s">
        <v>120</v>
      </c>
      <c r="D113" s="3">
        <v>161232</v>
      </c>
    </row>
    <row r="114" spans="3:4" ht="14.25" customHeight="1" x14ac:dyDescent="0.35">
      <c r="C114" s="1" t="s">
        <v>247</v>
      </c>
      <c r="D114" s="3">
        <v>155660</v>
      </c>
    </row>
    <row r="115" spans="3:4" ht="14.25" customHeight="1" x14ac:dyDescent="0.35">
      <c r="C115" s="1" t="s">
        <v>226</v>
      </c>
      <c r="D115" s="3">
        <v>12955</v>
      </c>
    </row>
    <row r="116" spans="3:4" ht="14.25" customHeight="1" x14ac:dyDescent="0.35">
      <c r="C116" s="1" t="s">
        <v>787</v>
      </c>
      <c r="D116" s="3">
        <v>30887</v>
      </c>
    </row>
    <row r="117" spans="3:4" ht="14.25" customHeight="1" x14ac:dyDescent="0.35">
      <c r="C117" s="1" t="s">
        <v>756</v>
      </c>
      <c r="D117" s="3">
        <v>136543</v>
      </c>
    </row>
    <row r="118" spans="3:4" ht="14.25" customHeight="1" x14ac:dyDescent="0.35">
      <c r="C118" s="1" t="s">
        <v>751</v>
      </c>
      <c r="D118" s="3">
        <v>167085</v>
      </c>
    </row>
    <row r="119" spans="3:4" ht="14.25" customHeight="1" x14ac:dyDescent="0.35">
      <c r="C119" s="1" t="s">
        <v>355</v>
      </c>
      <c r="D119" s="3">
        <v>14739</v>
      </c>
    </row>
    <row r="120" spans="3:4" ht="14.25" customHeight="1" x14ac:dyDescent="0.35">
      <c r="C120" s="1" t="s">
        <v>450</v>
      </c>
      <c r="D120" s="3">
        <v>83753</v>
      </c>
    </row>
    <row r="121" spans="3:4" ht="14.25" customHeight="1" x14ac:dyDescent="0.35">
      <c r="C121" s="1" t="s">
        <v>753</v>
      </c>
      <c r="D121" s="3">
        <v>113305</v>
      </c>
    </row>
    <row r="122" spans="3:4" ht="14.25" customHeight="1" x14ac:dyDescent="0.35">
      <c r="C122" s="1" t="s">
        <v>99</v>
      </c>
      <c r="D122" s="3">
        <v>18062</v>
      </c>
    </row>
    <row r="123" spans="3:4" ht="14.25" customHeight="1" x14ac:dyDescent="0.35">
      <c r="C123" s="1" t="s">
        <v>321</v>
      </c>
      <c r="D123" s="3">
        <v>31707</v>
      </c>
    </row>
    <row r="124" spans="3:4" ht="14.25" customHeight="1" x14ac:dyDescent="0.35">
      <c r="C124" s="1" t="s">
        <v>366</v>
      </c>
      <c r="D124" s="3">
        <v>137367</v>
      </c>
    </row>
    <row r="125" spans="3:4" ht="14.25" customHeight="1" x14ac:dyDescent="0.35">
      <c r="C125" s="1" t="s">
        <v>779</v>
      </c>
      <c r="D125" s="3">
        <v>12930</v>
      </c>
    </row>
    <row r="126" spans="3:4" ht="14.25" customHeight="1" x14ac:dyDescent="0.35">
      <c r="C126" s="1" t="s">
        <v>217</v>
      </c>
      <c r="D126" s="3">
        <v>23131</v>
      </c>
    </row>
    <row r="127" spans="3:4" ht="14.25" customHeight="1" x14ac:dyDescent="0.35">
      <c r="C127" s="1" t="s">
        <v>506</v>
      </c>
      <c r="D127" s="3">
        <v>11535</v>
      </c>
    </row>
    <row r="128" spans="3:4" ht="14.25" customHeight="1" x14ac:dyDescent="0.35">
      <c r="C128" s="1" t="s">
        <v>70</v>
      </c>
      <c r="D128" s="3">
        <v>156507</v>
      </c>
    </row>
    <row r="129" spans="3:4" ht="14.25" customHeight="1" x14ac:dyDescent="0.35">
      <c r="C129" s="1" t="s">
        <v>732</v>
      </c>
      <c r="D129" s="3">
        <v>172323</v>
      </c>
    </row>
    <row r="130" spans="3:4" ht="14.25" customHeight="1" x14ac:dyDescent="0.35">
      <c r="C130" s="1" t="s">
        <v>650</v>
      </c>
      <c r="D130" s="3">
        <v>132331</v>
      </c>
    </row>
    <row r="131" spans="3:4" ht="14.25" customHeight="1" x14ac:dyDescent="0.35">
      <c r="C131" s="1" t="s">
        <v>767</v>
      </c>
      <c r="D131" s="3">
        <v>160844</v>
      </c>
    </row>
    <row r="132" spans="3:4" ht="14.25" customHeight="1" x14ac:dyDescent="0.35">
      <c r="C132" s="1" t="s">
        <v>161</v>
      </c>
      <c r="D132" s="3">
        <v>167238</v>
      </c>
    </row>
    <row r="133" spans="3:4" ht="14.25" customHeight="1" x14ac:dyDescent="0.35">
      <c r="C133" s="1" t="s">
        <v>440</v>
      </c>
      <c r="D133" s="3">
        <v>137283</v>
      </c>
    </row>
    <row r="134" spans="3:4" ht="14.25" customHeight="1" x14ac:dyDescent="0.35">
      <c r="C134" s="1" t="s">
        <v>537</v>
      </c>
      <c r="D134" s="3">
        <v>179722</v>
      </c>
    </row>
    <row r="135" spans="3:4" ht="14.25" customHeight="1" x14ac:dyDescent="0.35">
      <c r="C135" s="1" t="s">
        <v>229</v>
      </c>
      <c r="D135" s="3">
        <v>106083</v>
      </c>
    </row>
    <row r="136" spans="3:4" ht="14.25" customHeight="1" x14ac:dyDescent="0.35">
      <c r="C136" s="1" t="s">
        <v>67</v>
      </c>
      <c r="D136" s="3">
        <v>35165</v>
      </c>
    </row>
    <row r="137" spans="3:4" ht="14.25" customHeight="1" x14ac:dyDescent="0.35">
      <c r="C137" s="1" t="s">
        <v>599</v>
      </c>
      <c r="D137" s="3">
        <v>12136</v>
      </c>
    </row>
    <row r="138" spans="3:4" ht="14.25" customHeight="1" x14ac:dyDescent="0.35">
      <c r="C138" s="1" t="s">
        <v>607</v>
      </c>
      <c r="D138" s="3">
        <v>186986</v>
      </c>
    </row>
    <row r="139" spans="3:4" ht="14.25" customHeight="1" x14ac:dyDescent="0.35">
      <c r="C139" s="1" t="s">
        <v>309</v>
      </c>
      <c r="D139" s="3">
        <v>33554</v>
      </c>
    </row>
    <row r="140" spans="3:4" ht="14.25" customHeight="1" x14ac:dyDescent="0.35">
      <c r="C140" s="1" t="s">
        <v>222</v>
      </c>
      <c r="D140" s="3">
        <v>19963</v>
      </c>
    </row>
    <row r="141" spans="3:4" ht="14.25" customHeight="1" x14ac:dyDescent="0.35">
      <c r="C141" s="1" t="s">
        <v>132</v>
      </c>
      <c r="D141" s="3">
        <v>77948</v>
      </c>
    </row>
    <row r="142" spans="3:4" ht="14.25" customHeight="1" x14ac:dyDescent="0.35">
      <c r="C142" s="1" t="s">
        <v>358</v>
      </c>
      <c r="D142" s="3">
        <v>35323</v>
      </c>
    </row>
    <row r="143" spans="3:4" ht="14.25" customHeight="1" x14ac:dyDescent="0.35">
      <c r="C143" s="1" t="s">
        <v>204</v>
      </c>
      <c r="D143" s="3">
        <v>172858</v>
      </c>
    </row>
    <row r="144" spans="3:4" ht="14.25" customHeight="1" x14ac:dyDescent="0.35">
      <c r="C144" s="1" t="s">
        <v>737</v>
      </c>
      <c r="D144" s="3">
        <v>46310</v>
      </c>
    </row>
    <row r="145" spans="3:4" ht="14.25" customHeight="1" x14ac:dyDescent="0.35">
      <c r="C145" s="1" t="s">
        <v>726</v>
      </c>
      <c r="D145" s="3">
        <v>148688</v>
      </c>
    </row>
    <row r="146" spans="3:4" ht="14.25" customHeight="1" x14ac:dyDescent="0.35">
      <c r="C146" s="1" t="s">
        <v>632</v>
      </c>
      <c r="D146" s="3">
        <v>101265</v>
      </c>
    </row>
    <row r="147" spans="3:4" ht="14.25" customHeight="1" x14ac:dyDescent="0.35">
      <c r="C147" s="1" t="s">
        <v>742</v>
      </c>
      <c r="D147" s="3">
        <v>9637</v>
      </c>
    </row>
    <row r="148" spans="3:4" ht="14.25" customHeight="1" x14ac:dyDescent="0.35">
      <c r="C148" s="1" t="s">
        <v>739</v>
      </c>
      <c r="D148" s="3">
        <v>91336</v>
      </c>
    </row>
    <row r="149" spans="3:4" ht="14.25" customHeight="1" x14ac:dyDescent="0.35">
      <c r="C149" s="1" t="s">
        <v>58</v>
      </c>
      <c r="D149" s="3">
        <v>68759</v>
      </c>
    </row>
    <row r="150" spans="3:4" ht="14.25" customHeight="1" x14ac:dyDescent="0.35">
      <c r="C150" s="1" t="s">
        <v>496</v>
      </c>
      <c r="D150" s="3">
        <v>177389</v>
      </c>
    </row>
    <row r="151" spans="3:4" ht="14.25" customHeight="1" x14ac:dyDescent="0.35">
      <c r="C151" s="1" t="s">
        <v>231</v>
      </c>
      <c r="D151" s="3">
        <v>82999</v>
      </c>
    </row>
    <row r="152" spans="3:4" ht="14.25" customHeight="1" x14ac:dyDescent="0.35">
      <c r="C152" s="1" t="s">
        <v>532</v>
      </c>
      <c r="D152" s="3">
        <v>50215</v>
      </c>
    </row>
    <row r="153" spans="3:4" ht="14.25" customHeight="1" x14ac:dyDescent="0.35">
      <c r="C153" s="1" t="s">
        <v>665</v>
      </c>
      <c r="D153" s="3">
        <v>179678</v>
      </c>
    </row>
    <row r="154" spans="3:4" ht="14.25" customHeight="1" x14ac:dyDescent="0.35">
      <c r="C154" s="1" t="s">
        <v>727</v>
      </c>
      <c r="D154" s="3">
        <v>43213</v>
      </c>
    </row>
    <row r="155" spans="3:4" ht="14.25" customHeight="1" x14ac:dyDescent="0.35">
      <c r="C155" s="1" t="s">
        <v>775</v>
      </c>
      <c r="D155" s="3">
        <v>131999</v>
      </c>
    </row>
    <row r="156" spans="3:4" ht="14.25" customHeight="1" x14ac:dyDescent="0.35">
      <c r="C156" s="1" t="s">
        <v>522</v>
      </c>
      <c r="D156" s="3">
        <v>172353</v>
      </c>
    </row>
    <row r="157" spans="3:4" ht="14.25" customHeight="1" x14ac:dyDescent="0.35">
      <c r="C157" s="1" t="s">
        <v>436</v>
      </c>
      <c r="D157" s="3">
        <v>112323</v>
      </c>
    </row>
    <row r="158" spans="3:4" ht="14.25" customHeight="1" x14ac:dyDescent="0.35">
      <c r="C158" s="1" t="s">
        <v>303</v>
      </c>
      <c r="D158" s="3">
        <v>185419</v>
      </c>
    </row>
    <row r="159" spans="3:4" ht="14.25" customHeight="1" x14ac:dyDescent="0.35">
      <c r="C159" s="1" t="s">
        <v>420</v>
      </c>
      <c r="D159" s="3">
        <v>96797</v>
      </c>
    </row>
    <row r="160" spans="3:4" ht="14.25" customHeight="1" x14ac:dyDescent="0.35">
      <c r="C160" s="1" t="s">
        <v>754</v>
      </c>
      <c r="D160" s="3">
        <v>109351</v>
      </c>
    </row>
    <row r="161" spans="3:4" ht="14.25" customHeight="1" x14ac:dyDescent="0.35">
      <c r="C161" s="1" t="s">
        <v>459</v>
      </c>
      <c r="D161" s="3">
        <v>116999</v>
      </c>
    </row>
    <row r="162" spans="3:4" ht="14.25" customHeight="1" x14ac:dyDescent="0.35">
      <c r="C162" s="1" t="s">
        <v>616</v>
      </c>
      <c r="D162" s="3">
        <v>30338</v>
      </c>
    </row>
    <row r="163" spans="3:4" ht="14.25" customHeight="1" x14ac:dyDescent="0.35">
      <c r="C163" s="1" t="s">
        <v>458</v>
      </c>
      <c r="D163" s="3">
        <v>32478</v>
      </c>
    </row>
    <row r="164" spans="3:4" ht="14.25" customHeight="1" x14ac:dyDescent="0.35">
      <c r="C164" s="1" t="s">
        <v>195</v>
      </c>
      <c r="D164" s="3">
        <v>115777</v>
      </c>
    </row>
    <row r="165" spans="3:4" ht="14.25" customHeight="1" x14ac:dyDescent="0.35">
      <c r="C165" s="1" t="s">
        <v>493</v>
      </c>
      <c r="D165" s="3">
        <v>133815</v>
      </c>
    </row>
    <row r="166" spans="3:4" ht="14.25" customHeight="1" x14ac:dyDescent="0.35">
      <c r="C166" s="1" t="s">
        <v>582</v>
      </c>
      <c r="D166" s="3">
        <v>125335</v>
      </c>
    </row>
    <row r="167" spans="3:4" ht="14.25" customHeight="1" x14ac:dyDescent="0.35">
      <c r="C167" s="1" t="s">
        <v>409</v>
      </c>
      <c r="D167" s="3">
        <v>58922</v>
      </c>
    </row>
    <row r="168" spans="3:4" ht="14.25" customHeight="1" x14ac:dyDescent="0.35">
      <c r="C168" s="1" t="s">
        <v>187</v>
      </c>
      <c r="D168" s="3">
        <v>62268</v>
      </c>
    </row>
    <row r="169" spans="3:4" ht="14.25" customHeight="1" x14ac:dyDescent="0.35">
      <c r="C169" s="1" t="s">
        <v>698</v>
      </c>
      <c r="D169" s="3">
        <v>161075</v>
      </c>
    </row>
    <row r="170" spans="3:4" ht="14.25" customHeight="1" x14ac:dyDescent="0.35">
      <c r="C170" s="1" t="s">
        <v>373</v>
      </c>
      <c r="D170" s="3">
        <v>36499</v>
      </c>
    </row>
    <row r="171" spans="3:4" ht="14.25" customHeight="1" x14ac:dyDescent="0.35">
      <c r="C171" s="1" t="s">
        <v>709</v>
      </c>
      <c r="D171" s="3">
        <v>84890</v>
      </c>
    </row>
    <row r="172" spans="3:4" ht="14.25" customHeight="1" x14ac:dyDescent="0.35">
      <c r="C172" s="1" t="s">
        <v>717</v>
      </c>
      <c r="D172" s="3">
        <v>168914</v>
      </c>
    </row>
    <row r="173" spans="3:4" ht="14.25" customHeight="1" x14ac:dyDescent="0.35">
      <c r="C173" s="1" t="s">
        <v>403</v>
      </c>
      <c r="D173" s="3">
        <v>93114</v>
      </c>
    </row>
    <row r="174" spans="3:4" ht="14.25" customHeight="1" x14ac:dyDescent="0.35">
      <c r="C174" s="1" t="s">
        <v>421</v>
      </c>
      <c r="D174" s="3">
        <v>187378</v>
      </c>
    </row>
    <row r="175" spans="3:4" ht="14.25" customHeight="1" x14ac:dyDescent="0.35">
      <c r="C175" s="1" t="s">
        <v>544</v>
      </c>
      <c r="D175" s="3">
        <v>95891</v>
      </c>
    </row>
    <row r="176" spans="3:4" ht="14.25" customHeight="1" x14ac:dyDescent="0.35">
      <c r="C176" s="1" t="s">
        <v>497</v>
      </c>
      <c r="D176" s="3">
        <v>90409</v>
      </c>
    </row>
    <row r="177" spans="3:4" ht="14.25" customHeight="1" x14ac:dyDescent="0.35">
      <c r="C177" s="1" t="s">
        <v>536</v>
      </c>
      <c r="D177" s="3">
        <v>122485</v>
      </c>
    </row>
    <row r="178" spans="3:4" ht="14.25" customHeight="1" x14ac:dyDescent="0.35">
      <c r="C178" s="1" t="s">
        <v>91</v>
      </c>
      <c r="D178" s="3">
        <v>176495</v>
      </c>
    </row>
    <row r="179" spans="3:4" ht="14.25" customHeight="1" x14ac:dyDescent="0.35">
      <c r="C179" s="1" t="s">
        <v>694</v>
      </c>
      <c r="D179" s="3">
        <v>127333</v>
      </c>
    </row>
    <row r="180" spans="3:4" ht="14.25" customHeight="1" x14ac:dyDescent="0.35">
      <c r="C180" s="1" t="s">
        <v>385</v>
      </c>
      <c r="D180" s="3">
        <v>98239</v>
      </c>
    </row>
    <row r="181" spans="3:4" ht="14.25" customHeight="1" x14ac:dyDescent="0.35">
      <c r="C181" s="1" t="s">
        <v>203</v>
      </c>
      <c r="D181" s="3">
        <v>35661</v>
      </c>
    </row>
    <row r="182" spans="3:4" ht="14.25" customHeight="1" x14ac:dyDescent="0.35">
      <c r="C182" s="1" t="s">
        <v>721</v>
      </c>
      <c r="D182" s="3">
        <v>156059</v>
      </c>
    </row>
    <row r="183" spans="3:4" ht="14.25" customHeight="1" x14ac:dyDescent="0.35">
      <c r="C183" s="1" t="s">
        <v>585</v>
      </c>
      <c r="D183" s="3">
        <v>178678</v>
      </c>
    </row>
    <row r="184" spans="3:4" ht="14.25" customHeight="1" x14ac:dyDescent="0.35">
      <c r="C184" s="1" t="s">
        <v>208</v>
      </c>
      <c r="D184" s="3">
        <v>103392</v>
      </c>
    </row>
    <row r="185" spans="3:4" ht="14.25" customHeight="1" x14ac:dyDescent="0.35">
      <c r="C185" s="1" t="s">
        <v>752</v>
      </c>
      <c r="D185" s="3">
        <v>6287</v>
      </c>
    </row>
    <row r="186" spans="3:4" ht="14.25" customHeight="1" x14ac:dyDescent="0.35">
      <c r="C186" s="1" t="s">
        <v>507</v>
      </c>
      <c r="D186" s="3">
        <v>17566</v>
      </c>
    </row>
    <row r="187" spans="3:4" ht="14.25" customHeight="1" x14ac:dyDescent="0.35">
      <c r="C187" s="1" t="s">
        <v>663</v>
      </c>
      <c r="D187" s="3">
        <v>179775</v>
      </c>
    </row>
    <row r="188" spans="3:4" ht="14.25" customHeight="1" x14ac:dyDescent="0.35">
      <c r="C188" s="1" t="s">
        <v>152</v>
      </c>
      <c r="D188" s="3">
        <v>89447</v>
      </c>
    </row>
    <row r="189" spans="3:4" ht="14.25" customHeight="1" x14ac:dyDescent="0.35">
      <c r="C189" s="1" t="s">
        <v>611</v>
      </c>
      <c r="D189" s="3">
        <v>117207</v>
      </c>
    </row>
    <row r="190" spans="3:4" ht="14.25" customHeight="1" x14ac:dyDescent="0.35">
      <c r="C190" s="1" t="s">
        <v>527</v>
      </c>
      <c r="D190" s="3">
        <v>44242</v>
      </c>
    </row>
    <row r="191" spans="3:4" ht="14.25" customHeight="1" x14ac:dyDescent="0.35">
      <c r="C191" s="1" t="s">
        <v>531</v>
      </c>
      <c r="D191" s="3">
        <v>63219</v>
      </c>
    </row>
    <row r="192" spans="3:4" ht="14.25" customHeight="1" x14ac:dyDescent="0.35">
      <c r="C192" s="1" t="s">
        <v>614</v>
      </c>
      <c r="D192" s="3">
        <v>178243</v>
      </c>
    </row>
    <row r="193" spans="3:4" ht="14.25" customHeight="1" x14ac:dyDescent="0.35">
      <c r="C193" s="1" t="s">
        <v>280</v>
      </c>
      <c r="D193" s="3">
        <v>36825</v>
      </c>
    </row>
    <row r="194" spans="3:4" ht="14.25" customHeight="1" x14ac:dyDescent="0.35">
      <c r="C194" s="1" t="s">
        <v>707</v>
      </c>
      <c r="D194" s="3">
        <v>93595</v>
      </c>
    </row>
    <row r="195" spans="3:4" ht="14.25" customHeight="1" x14ac:dyDescent="0.35">
      <c r="C195" s="1" t="s">
        <v>176</v>
      </c>
      <c r="D195" s="3">
        <v>74537</v>
      </c>
    </row>
    <row r="196" spans="3:4" ht="14.25" customHeight="1" x14ac:dyDescent="0.35">
      <c r="C196" s="1" t="s">
        <v>672</v>
      </c>
      <c r="D196" s="3">
        <v>39515</v>
      </c>
    </row>
    <row r="197" spans="3:4" ht="14.25" customHeight="1" x14ac:dyDescent="0.35">
      <c r="C197" s="1" t="s">
        <v>378</v>
      </c>
      <c r="D197" s="3">
        <v>100451</v>
      </c>
    </row>
    <row r="198" spans="3:4" ht="14.25" customHeight="1" x14ac:dyDescent="0.35">
      <c r="C198" s="1" t="s">
        <v>347</v>
      </c>
      <c r="D198" s="3">
        <v>140178</v>
      </c>
    </row>
    <row r="199" spans="3:4" ht="14.25" customHeight="1" x14ac:dyDescent="0.35">
      <c r="C199" s="1" t="s">
        <v>236</v>
      </c>
      <c r="D199" s="3">
        <v>125429</v>
      </c>
    </row>
    <row r="200" spans="3:4" ht="14.25" customHeight="1" x14ac:dyDescent="0.35">
      <c r="C200" s="1" t="s">
        <v>511</v>
      </c>
      <c r="D200" s="3">
        <v>181055</v>
      </c>
    </row>
    <row r="201" spans="3:4" ht="14.25" customHeight="1" x14ac:dyDescent="0.35">
      <c r="C201" s="1" t="s">
        <v>352</v>
      </c>
      <c r="D201" s="3">
        <v>90011</v>
      </c>
    </row>
    <row r="202" spans="3:4" ht="14.25" customHeight="1" x14ac:dyDescent="0.35">
      <c r="C202" s="1" t="s">
        <v>653</v>
      </c>
      <c r="D202" s="3">
        <v>68010</v>
      </c>
    </row>
    <row r="203" spans="3:4" ht="14.25" customHeight="1" x14ac:dyDescent="0.35">
      <c r="C203" s="1" t="s">
        <v>523</v>
      </c>
      <c r="D203" s="3">
        <v>178773</v>
      </c>
    </row>
    <row r="204" spans="3:4" ht="14.25" customHeight="1" x14ac:dyDescent="0.35">
      <c r="C204" s="1" t="s">
        <v>367</v>
      </c>
      <c r="D204" s="3">
        <v>68623</v>
      </c>
    </row>
    <row r="205" spans="3:4" ht="14.25" customHeight="1" x14ac:dyDescent="0.35">
      <c r="C205" s="1" t="s">
        <v>379</v>
      </c>
      <c r="D205" s="3">
        <v>153888</v>
      </c>
    </row>
    <row r="206" spans="3:4" ht="14.25" customHeight="1" x14ac:dyDescent="0.35">
      <c r="C206" s="1" t="s">
        <v>469</v>
      </c>
      <c r="D206" s="3">
        <v>139431</v>
      </c>
    </row>
    <row r="207" spans="3:4" ht="14.25" customHeight="1" x14ac:dyDescent="0.35">
      <c r="C207" s="1" t="s">
        <v>114</v>
      </c>
      <c r="D207" s="3">
        <v>161776</v>
      </c>
    </row>
    <row r="208" spans="3:4" ht="14.25" customHeight="1" x14ac:dyDescent="0.35">
      <c r="C208" s="1" t="s">
        <v>356</v>
      </c>
      <c r="D208" s="3">
        <v>137611</v>
      </c>
    </row>
    <row r="209" spans="3:4" ht="14.25" customHeight="1" x14ac:dyDescent="0.35">
      <c r="C209" s="1" t="s">
        <v>181</v>
      </c>
      <c r="D209" s="3">
        <v>111995</v>
      </c>
    </row>
    <row r="210" spans="3:4" ht="14.25" customHeight="1" x14ac:dyDescent="0.35">
      <c r="C210" s="1" t="s">
        <v>26</v>
      </c>
      <c r="D210" s="3">
        <v>155128</v>
      </c>
    </row>
    <row r="211" spans="3:4" ht="14.25" customHeight="1" x14ac:dyDescent="0.35">
      <c r="C211" s="1" t="s">
        <v>407</v>
      </c>
      <c r="D211" s="3">
        <v>129591</v>
      </c>
    </row>
    <row r="212" spans="3:4" ht="14.25" customHeight="1" x14ac:dyDescent="0.35">
      <c r="C212" s="1" t="s">
        <v>596</v>
      </c>
      <c r="D212" s="3">
        <v>163717</v>
      </c>
    </row>
    <row r="213" spans="3:4" ht="14.25" customHeight="1" x14ac:dyDescent="0.35">
      <c r="C213" s="1" t="s">
        <v>765</v>
      </c>
      <c r="D213" s="3">
        <v>54170</v>
      </c>
    </row>
    <row r="214" spans="3:4" ht="14.25" customHeight="1" x14ac:dyDescent="0.35">
      <c r="C214" s="1" t="s">
        <v>633</v>
      </c>
      <c r="D214" s="3">
        <v>71581</v>
      </c>
    </row>
    <row r="215" spans="3:4" ht="14.25" customHeight="1" x14ac:dyDescent="0.35">
      <c r="C215" s="1" t="s">
        <v>769</v>
      </c>
      <c r="D215" s="3">
        <v>62835</v>
      </c>
    </row>
    <row r="216" spans="3:4" ht="14.25" customHeight="1" x14ac:dyDescent="0.35">
      <c r="C216" s="1" t="s">
        <v>688</v>
      </c>
      <c r="D216" s="3">
        <v>112725</v>
      </c>
    </row>
    <row r="217" spans="3:4" ht="14.25" customHeight="1" x14ac:dyDescent="0.35">
      <c r="C217" s="1" t="s">
        <v>106</v>
      </c>
      <c r="D217" s="3">
        <v>138221</v>
      </c>
    </row>
    <row r="218" spans="3:4" ht="14.25" customHeight="1" x14ac:dyDescent="0.35">
      <c r="C218" s="1" t="s">
        <v>348</v>
      </c>
      <c r="D218" s="3">
        <v>36354</v>
      </c>
    </row>
    <row r="219" spans="3:4" ht="14.25" customHeight="1" x14ac:dyDescent="0.35">
      <c r="C219" s="1" t="s">
        <v>264</v>
      </c>
      <c r="D219" s="3">
        <v>81396</v>
      </c>
    </row>
    <row r="220" spans="3:4" ht="14.25" customHeight="1" x14ac:dyDescent="0.35">
      <c r="C220" s="1" t="s">
        <v>609</v>
      </c>
      <c r="D220" s="3">
        <v>80910</v>
      </c>
    </row>
    <row r="221" spans="3:4" ht="14.25" customHeight="1" x14ac:dyDescent="0.35">
      <c r="C221" s="1" t="s">
        <v>781</v>
      </c>
      <c r="D221" s="3">
        <v>58316</v>
      </c>
    </row>
    <row r="222" spans="3:4" ht="14.25" customHeight="1" x14ac:dyDescent="0.35">
      <c r="C222" s="1" t="s">
        <v>704</v>
      </c>
      <c r="D222" s="3">
        <v>145696</v>
      </c>
    </row>
    <row r="223" spans="3:4" ht="14.25" customHeight="1" x14ac:dyDescent="0.35">
      <c r="C223" s="1" t="s">
        <v>391</v>
      </c>
      <c r="D223" s="3">
        <v>15860</v>
      </c>
    </row>
    <row r="224" spans="3:4" ht="14.25" customHeight="1" x14ac:dyDescent="0.35">
      <c r="C224" s="1" t="s">
        <v>740</v>
      </c>
      <c r="D224" s="3">
        <v>158328</v>
      </c>
    </row>
    <row r="225" spans="3:4" ht="14.25" customHeight="1" x14ac:dyDescent="0.35">
      <c r="C225" s="1" t="s">
        <v>136</v>
      </c>
      <c r="D225" s="3">
        <v>158925</v>
      </c>
    </row>
    <row r="226" spans="3:4" ht="14.25" customHeight="1" x14ac:dyDescent="0.35">
      <c r="C226" s="1" t="s">
        <v>368</v>
      </c>
      <c r="D226" s="3">
        <v>114250</v>
      </c>
    </row>
    <row r="227" spans="3:4" ht="14.25" customHeight="1" x14ac:dyDescent="0.35">
      <c r="C227" s="1" t="s">
        <v>426</v>
      </c>
      <c r="D227" s="3">
        <v>109388</v>
      </c>
    </row>
    <row r="228" spans="3:4" ht="14.25" customHeight="1" x14ac:dyDescent="0.35">
      <c r="C228" s="1" t="s">
        <v>618</v>
      </c>
      <c r="D228" s="3">
        <v>173163</v>
      </c>
    </row>
    <row r="229" spans="3:4" ht="14.25" customHeight="1" x14ac:dyDescent="0.35">
      <c r="C229" s="1" t="s">
        <v>783</v>
      </c>
      <c r="D229" s="3">
        <v>111217</v>
      </c>
    </row>
    <row r="230" spans="3:4" ht="14.25" customHeight="1" x14ac:dyDescent="0.35">
      <c r="C230" s="1" t="s">
        <v>439</v>
      </c>
      <c r="D230" s="3">
        <v>146076</v>
      </c>
    </row>
    <row r="231" spans="3:4" ht="14.25" customHeight="1" x14ac:dyDescent="0.35">
      <c r="C231" s="1" t="s">
        <v>671</v>
      </c>
      <c r="D231" s="3">
        <v>9459</v>
      </c>
    </row>
    <row r="232" spans="3:4" ht="14.25" customHeight="1" x14ac:dyDescent="0.35">
      <c r="C232" s="1" t="s">
        <v>432</v>
      </c>
      <c r="D232" s="3">
        <v>7298</v>
      </c>
    </row>
    <row r="233" spans="3:4" ht="14.25" customHeight="1" x14ac:dyDescent="0.35">
      <c r="C233" s="1" t="s">
        <v>761</v>
      </c>
      <c r="D233" s="3">
        <v>68008</v>
      </c>
    </row>
    <row r="234" spans="3:4" ht="14.25" customHeight="1" x14ac:dyDescent="0.35">
      <c r="C234" s="1" t="s">
        <v>540</v>
      </c>
      <c r="D234" s="3">
        <v>136863</v>
      </c>
    </row>
    <row r="235" spans="3:4" ht="14.25" customHeight="1" x14ac:dyDescent="0.35">
      <c r="C235" s="1" t="s">
        <v>48</v>
      </c>
      <c r="D235" s="3">
        <v>72549</v>
      </c>
    </row>
    <row r="236" spans="3:4" ht="14.25" customHeight="1" x14ac:dyDescent="0.35">
      <c r="C236" s="1" t="s">
        <v>725</v>
      </c>
      <c r="D236" s="3">
        <v>111465</v>
      </c>
    </row>
    <row r="237" spans="3:4" ht="14.25" customHeight="1" x14ac:dyDescent="0.35">
      <c r="C237" s="1" t="s">
        <v>631</v>
      </c>
      <c r="D237" s="3">
        <v>177125</v>
      </c>
    </row>
    <row r="238" spans="3:4" ht="14.25" customHeight="1" x14ac:dyDescent="0.35">
      <c r="C238" s="1" t="s">
        <v>94</v>
      </c>
      <c r="D238" s="3">
        <v>182297</v>
      </c>
    </row>
    <row r="239" spans="3:4" ht="14.25" customHeight="1" x14ac:dyDescent="0.35">
      <c r="C239" s="1" t="s">
        <v>623</v>
      </c>
      <c r="D239" s="3">
        <v>126731</v>
      </c>
    </row>
    <row r="240" spans="3:4" ht="14.25" customHeight="1" x14ac:dyDescent="0.35">
      <c r="C240" s="1" t="s">
        <v>517</v>
      </c>
      <c r="D240" s="3">
        <v>150693</v>
      </c>
    </row>
    <row r="241" spans="3:4" ht="14.25" customHeight="1" x14ac:dyDescent="0.35">
      <c r="C241" s="1" t="s">
        <v>404</v>
      </c>
      <c r="D241" s="3">
        <v>54960</v>
      </c>
    </row>
    <row r="242" spans="3:4" ht="14.25" customHeight="1" x14ac:dyDescent="0.35">
      <c r="C242" s="1" t="s">
        <v>53</v>
      </c>
      <c r="D242" s="3">
        <v>47186</v>
      </c>
    </row>
    <row r="243" spans="3:4" ht="14.25" customHeight="1" x14ac:dyDescent="0.35">
      <c r="C243" s="1" t="s">
        <v>684</v>
      </c>
      <c r="D243" s="3">
        <v>26122</v>
      </c>
    </row>
    <row r="244" spans="3:4" ht="14.25" customHeight="1" x14ac:dyDescent="0.35">
      <c r="C244" s="1" t="s">
        <v>461</v>
      </c>
      <c r="D244" s="3">
        <v>162460</v>
      </c>
    </row>
    <row r="245" spans="3:4" ht="14.25" customHeight="1" x14ac:dyDescent="0.35">
      <c r="C245" s="1" t="s">
        <v>595</v>
      </c>
      <c r="D245" s="3">
        <v>145620</v>
      </c>
    </row>
    <row r="246" spans="3:4" ht="14.25" customHeight="1" x14ac:dyDescent="0.35">
      <c r="C246" s="1" t="s">
        <v>313</v>
      </c>
      <c r="D246" s="3">
        <v>66902</v>
      </c>
    </row>
    <row r="247" spans="3:4" ht="14.25" customHeight="1" x14ac:dyDescent="0.35">
      <c r="C247" s="1" t="s">
        <v>657</v>
      </c>
      <c r="D247" s="3">
        <v>161295</v>
      </c>
    </row>
    <row r="248" spans="3:4" ht="14.25" customHeight="1" x14ac:dyDescent="0.35">
      <c r="C248" s="1" t="s">
        <v>533</v>
      </c>
      <c r="D248" s="3">
        <v>34306</v>
      </c>
    </row>
    <row r="249" spans="3:4" ht="14.25" customHeight="1" x14ac:dyDescent="0.35">
      <c r="C249" s="1" t="s">
        <v>586</v>
      </c>
      <c r="D249" s="3">
        <v>110194</v>
      </c>
    </row>
    <row r="250" spans="3:4" ht="14.25" customHeight="1" x14ac:dyDescent="0.35">
      <c r="C250" s="1" t="s">
        <v>553</v>
      </c>
      <c r="D250" s="3">
        <v>77667</v>
      </c>
    </row>
    <row r="251" spans="3:4" ht="14.25" customHeight="1" x14ac:dyDescent="0.35">
      <c r="C251" s="1" t="s">
        <v>334</v>
      </c>
      <c r="D251" s="3">
        <v>35531</v>
      </c>
    </row>
    <row r="252" spans="3:4" ht="14.25" customHeight="1" x14ac:dyDescent="0.35">
      <c r="C252" s="1" t="s">
        <v>667</v>
      </c>
      <c r="D252" s="3">
        <v>98026</v>
      </c>
    </row>
    <row r="253" spans="3:4" ht="14.25" customHeight="1" x14ac:dyDescent="0.35">
      <c r="C253" s="1" t="s">
        <v>748</v>
      </c>
      <c r="D253" s="3">
        <v>74810</v>
      </c>
    </row>
    <row r="254" spans="3:4" ht="14.25" customHeight="1" x14ac:dyDescent="0.35">
      <c r="C254" s="1" t="s">
        <v>715</v>
      </c>
      <c r="D254" s="3">
        <v>95076</v>
      </c>
    </row>
    <row r="255" spans="3:4" ht="14.25" customHeight="1" x14ac:dyDescent="0.35">
      <c r="C255" s="1" t="s">
        <v>556</v>
      </c>
      <c r="D255" s="3">
        <v>160115</v>
      </c>
    </row>
    <row r="256" spans="3:4" ht="14.25" customHeight="1" x14ac:dyDescent="0.35">
      <c r="C256" s="1" t="s">
        <v>235</v>
      </c>
      <c r="D256" s="3">
        <v>157990</v>
      </c>
    </row>
    <row r="257" spans="3:4" ht="14.25" customHeight="1" x14ac:dyDescent="0.35">
      <c r="C257" s="1" t="s">
        <v>784</v>
      </c>
      <c r="D257" s="3">
        <v>109269</v>
      </c>
    </row>
    <row r="258" spans="3:4" ht="14.25" customHeight="1" x14ac:dyDescent="0.35">
      <c r="C258" s="1" t="s">
        <v>710</v>
      </c>
      <c r="D258" s="3">
        <v>163068</v>
      </c>
    </row>
    <row r="259" spans="3:4" ht="14.25" customHeight="1" x14ac:dyDescent="0.35">
      <c r="C259" s="1" t="s">
        <v>262</v>
      </c>
      <c r="D259" s="3">
        <v>150610</v>
      </c>
    </row>
    <row r="260" spans="3:4" ht="14.25" customHeight="1" x14ac:dyDescent="0.35">
      <c r="C260" s="1" t="s">
        <v>768</v>
      </c>
      <c r="D260" s="3">
        <v>187565</v>
      </c>
    </row>
    <row r="261" spans="3:4" ht="14.25" customHeight="1" x14ac:dyDescent="0.35">
      <c r="C261" s="1" t="s">
        <v>284</v>
      </c>
      <c r="D261" s="3">
        <v>11437</v>
      </c>
    </row>
    <row r="262" spans="3:4" ht="14.25" customHeight="1" x14ac:dyDescent="0.35">
      <c r="C262" s="1" t="s">
        <v>778</v>
      </c>
      <c r="D262" s="3">
        <v>21897</v>
      </c>
    </row>
    <row r="263" spans="3:4" ht="14.25" customHeight="1" x14ac:dyDescent="0.35">
      <c r="C263" s="1" t="s">
        <v>660</v>
      </c>
      <c r="D263" s="3">
        <v>52938</v>
      </c>
    </row>
    <row r="264" spans="3:4" ht="14.25" customHeight="1" x14ac:dyDescent="0.35">
      <c r="C264" s="1" t="s">
        <v>703</v>
      </c>
      <c r="D264" s="3">
        <v>59272</v>
      </c>
    </row>
    <row r="265" spans="3:4" ht="14.25" customHeight="1" x14ac:dyDescent="0.35">
      <c r="C265" s="1" t="s">
        <v>419</v>
      </c>
      <c r="D265" s="3">
        <v>153282</v>
      </c>
    </row>
    <row r="266" spans="3:4" ht="14.25" customHeight="1" x14ac:dyDescent="0.35">
      <c r="C266" s="1" t="s">
        <v>735</v>
      </c>
      <c r="D266" s="3">
        <v>154439</v>
      </c>
    </row>
    <row r="267" spans="3:4" ht="14.25" customHeight="1" x14ac:dyDescent="0.35">
      <c r="C267" s="1" t="s">
        <v>621</v>
      </c>
      <c r="D267" s="3">
        <v>181490</v>
      </c>
    </row>
    <row r="268" spans="3:4" ht="14.25" customHeight="1" x14ac:dyDescent="0.35">
      <c r="C268" s="1" t="s">
        <v>770</v>
      </c>
      <c r="D268" s="3">
        <v>123724</v>
      </c>
    </row>
    <row r="269" spans="3:4" ht="14.25" customHeight="1" x14ac:dyDescent="0.35">
      <c r="C269" s="1" t="s">
        <v>279</v>
      </c>
      <c r="D269" s="3">
        <v>44300</v>
      </c>
    </row>
    <row r="270" spans="3:4" ht="14.25" customHeight="1" x14ac:dyDescent="0.35">
      <c r="C270" s="1" t="s">
        <v>573</v>
      </c>
      <c r="D270" s="3">
        <v>174183</v>
      </c>
    </row>
    <row r="271" spans="3:4" ht="14.25" customHeight="1" x14ac:dyDescent="0.35">
      <c r="C271" s="1" t="s">
        <v>668</v>
      </c>
      <c r="D271" s="3">
        <v>175594</v>
      </c>
    </row>
    <row r="272" spans="3:4" ht="14.25" customHeight="1" x14ac:dyDescent="0.35">
      <c r="C272" s="1" t="s">
        <v>413</v>
      </c>
      <c r="D272" s="3">
        <v>142091</v>
      </c>
    </row>
    <row r="273" spans="3:4" ht="14.25" customHeight="1" x14ac:dyDescent="0.35">
      <c r="C273" s="1" t="s">
        <v>157</v>
      </c>
      <c r="D273" s="3">
        <v>156114</v>
      </c>
    </row>
    <row r="274" spans="3:4" ht="14.25" customHeight="1" x14ac:dyDescent="0.35">
      <c r="C274" s="1" t="s">
        <v>602</v>
      </c>
      <c r="D274" s="3">
        <v>150154</v>
      </c>
    </row>
    <row r="275" spans="3:4" ht="14.25" customHeight="1" x14ac:dyDescent="0.35">
      <c r="C275" s="1" t="s">
        <v>466</v>
      </c>
      <c r="D275" s="3">
        <v>93872</v>
      </c>
    </row>
    <row r="276" spans="3:4" ht="14.25" customHeight="1" x14ac:dyDescent="0.35">
      <c r="C276" s="1" t="s">
        <v>498</v>
      </c>
      <c r="D276" s="3">
        <v>95721</v>
      </c>
    </row>
    <row r="277" spans="3:4" ht="14.25" customHeight="1" x14ac:dyDescent="0.35">
      <c r="C277" s="1" t="s">
        <v>96</v>
      </c>
      <c r="D277" s="3">
        <v>176738</v>
      </c>
    </row>
    <row r="278" spans="3:4" ht="14.25" customHeight="1" x14ac:dyDescent="0.35">
      <c r="C278" s="1" t="s">
        <v>449</v>
      </c>
      <c r="D278" s="3">
        <v>128604</v>
      </c>
    </row>
    <row r="279" spans="3:4" ht="14.25" customHeight="1" x14ac:dyDescent="0.35">
      <c r="C279" s="1" t="s">
        <v>738</v>
      </c>
      <c r="D279" s="3">
        <v>53967</v>
      </c>
    </row>
    <row r="280" spans="3:4" ht="14.25" customHeight="1" x14ac:dyDescent="0.35">
      <c r="C280" s="1" t="s">
        <v>615</v>
      </c>
      <c r="D280" s="3">
        <v>138750</v>
      </c>
    </row>
    <row r="281" spans="3:4" ht="14.25" customHeight="1" x14ac:dyDescent="0.35">
      <c r="C281" s="1" t="s">
        <v>333</v>
      </c>
      <c r="D281" s="3">
        <v>180766</v>
      </c>
    </row>
    <row r="282" spans="3:4" ht="14.25" customHeight="1" x14ac:dyDescent="0.35">
      <c r="C282" s="1" t="s">
        <v>587</v>
      </c>
      <c r="D282" s="3">
        <v>167389</v>
      </c>
    </row>
    <row r="283" spans="3:4" ht="14.25" customHeight="1" x14ac:dyDescent="0.35">
      <c r="C283" s="1" t="s">
        <v>757</v>
      </c>
      <c r="D283" s="3">
        <v>49248</v>
      </c>
    </row>
    <row r="284" spans="3:4" ht="14.25" customHeight="1" x14ac:dyDescent="0.35">
      <c r="C284" s="1" t="s">
        <v>638</v>
      </c>
      <c r="D284" s="3">
        <v>146152</v>
      </c>
    </row>
    <row r="285" spans="3:4" ht="14.25" customHeight="1" x14ac:dyDescent="0.35">
      <c r="C285" s="1" t="s">
        <v>554</v>
      </c>
      <c r="D285" s="3">
        <v>155496</v>
      </c>
    </row>
    <row r="286" spans="3:4" ht="14.25" customHeight="1" x14ac:dyDescent="0.35">
      <c r="C286" s="1" t="s">
        <v>674</v>
      </c>
      <c r="D286" s="3">
        <v>30808</v>
      </c>
    </row>
    <row r="287" spans="3:4" ht="14.25" customHeight="1" x14ac:dyDescent="0.35">
      <c r="C287" s="1" t="s">
        <v>771</v>
      </c>
      <c r="D287" s="3">
        <v>143595</v>
      </c>
    </row>
    <row r="288" spans="3:4" ht="14.25" customHeight="1" x14ac:dyDescent="0.35">
      <c r="C288" s="1" t="s">
        <v>401</v>
      </c>
      <c r="D288" s="3">
        <v>16744</v>
      </c>
    </row>
    <row r="289" spans="3:4" ht="14.25" customHeight="1" x14ac:dyDescent="0.35">
      <c r="C289" s="1" t="s">
        <v>357</v>
      </c>
      <c r="D289" s="3">
        <v>76925</v>
      </c>
    </row>
    <row r="290" spans="3:4" ht="14.25" customHeight="1" x14ac:dyDescent="0.35">
      <c r="C290" s="1" t="s">
        <v>642</v>
      </c>
      <c r="D290" s="3">
        <v>158051</v>
      </c>
    </row>
    <row r="291" spans="3:4" ht="14.25" customHeight="1" x14ac:dyDescent="0.35">
      <c r="C291" s="1" t="s">
        <v>701</v>
      </c>
      <c r="D291" s="3">
        <v>146152</v>
      </c>
    </row>
    <row r="292" spans="3:4" ht="14.25" customHeight="1" x14ac:dyDescent="0.35">
      <c r="C292" s="1" t="s">
        <v>565</v>
      </c>
      <c r="D292" s="3">
        <v>154081</v>
      </c>
    </row>
    <row r="293" spans="3:4" ht="14.25" customHeight="1" x14ac:dyDescent="0.35">
      <c r="C293" s="1" t="s">
        <v>286</v>
      </c>
      <c r="D293" s="3">
        <v>45140</v>
      </c>
    </row>
    <row r="294" spans="3:4" ht="14.25" customHeight="1" x14ac:dyDescent="0.35">
      <c r="C294" s="1" t="s">
        <v>790</v>
      </c>
      <c r="D294" s="3">
        <v>64498</v>
      </c>
    </row>
    <row r="295" spans="3:4" ht="14.25" customHeight="1" x14ac:dyDescent="0.35">
      <c r="C295" s="1" t="s">
        <v>456</v>
      </c>
      <c r="D295" s="3">
        <v>22830</v>
      </c>
    </row>
    <row r="296" spans="3:4" ht="14.25" customHeight="1" x14ac:dyDescent="0.35">
      <c r="C296" s="1" t="s">
        <v>510</v>
      </c>
      <c r="D296" s="3">
        <v>179493</v>
      </c>
    </row>
    <row r="297" spans="3:4" ht="14.25" customHeight="1" x14ac:dyDescent="0.35">
      <c r="C297" s="1" t="s">
        <v>759</v>
      </c>
      <c r="D297" s="3">
        <v>130234</v>
      </c>
    </row>
    <row r="298" spans="3:4" ht="14.25" customHeight="1" x14ac:dyDescent="0.35">
      <c r="C298" s="1" t="s">
        <v>664</v>
      </c>
      <c r="D298" s="3">
        <v>33291</v>
      </c>
    </row>
    <row r="299" spans="3:4" ht="14.25" customHeight="1" x14ac:dyDescent="0.35">
      <c r="C299" s="1" t="s">
        <v>393</v>
      </c>
      <c r="D299" s="3">
        <v>43684</v>
      </c>
    </row>
    <row r="300" spans="3:4" ht="14.25" customHeight="1" x14ac:dyDescent="0.35">
      <c r="C300" s="1" t="s">
        <v>708</v>
      </c>
      <c r="D300" s="3">
        <v>82907</v>
      </c>
    </row>
    <row r="301" spans="3:4" ht="14.25" customHeight="1" x14ac:dyDescent="0.35">
      <c r="C301" s="1" t="s">
        <v>580</v>
      </c>
      <c r="D301" s="3">
        <v>30550</v>
      </c>
    </row>
    <row r="302" spans="3:4" ht="14.25" customHeight="1" x14ac:dyDescent="0.35">
      <c r="C302" s="1" t="s">
        <v>678</v>
      </c>
      <c r="D302" s="3">
        <v>78069</v>
      </c>
    </row>
    <row r="303" spans="3:4" ht="14.25" customHeight="1" x14ac:dyDescent="0.35">
      <c r="C303" s="1" t="s">
        <v>505</v>
      </c>
      <c r="D303" s="3">
        <v>138925</v>
      </c>
    </row>
    <row r="304" spans="3:4" ht="14.25" customHeight="1" x14ac:dyDescent="0.35">
      <c r="C304" s="1" t="s">
        <v>792</v>
      </c>
      <c r="D304" s="3">
        <v>134882</v>
      </c>
    </row>
    <row r="305" spans="3:4" ht="14.25" customHeight="1" x14ac:dyDescent="0.35">
      <c r="C305" s="1" t="s">
        <v>603</v>
      </c>
      <c r="D305" s="3">
        <v>135463</v>
      </c>
    </row>
    <row r="306" spans="3:4" ht="14.25" customHeight="1" x14ac:dyDescent="0.35">
      <c r="C306" s="1" t="s">
        <v>460</v>
      </c>
      <c r="D306" s="3">
        <v>40308</v>
      </c>
    </row>
    <row r="307" spans="3:4" ht="14.25" customHeight="1" x14ac:dyDescent="0.35">
      <c r="C307" s="1" t="s">
        <v>424</v>
      </c>
      <c r="D307" s="3">
        <v>174108</v>
      </c>
    </row>
    <row r="308" spans="3:4" ht="14.25" customHeight="1" x14ac:dyDescent="0.35">
      <c r="C308" s="1" t="s">
        <v>475</v>
      </c>
      <c r="D308" s="3">
        <v>110252</v>
      </c>
    </row>
    <row r="309" spans="3:4" ht="14.25" customHeight="1" x14ac:dyDescent="0.35">
      <c r="C309" s="1" t="s">
        <v>643</v>
      </c>
      <c r="D309" s="3">
        <v>46612</v>
      </c>
    </row>
    <row r="310" spans="3:4" ht="14.25" customHeight="1" x14ac:dyDescent="0.35">
      <c r="C310" s="1" t="s">
        <v>687</v>
      </c>
      <c r="D310" s="3">
        <v>129688</v>
      </c>
    </row>
    <row r="311" spans="3:4" ht="14.25" customHeight="1" x14ac:dyDescent="0.35">
      <c r="C311" s="1" t="s">
        <v>539</v>
      </c>
      <c r="D311" s="3">
        <v>142359</v>
      </c>
    </row>
    <row r="312" spans="3:4" ht="14.25" customHeight="1" x14ac:dyDescent="0.35">
      <c r="C312" s="1" t="s">
        <v>418</v>
      </c>
      <c r="D312" s="3">
        <v>137933</v>
      </c>
    </row>
    <row r="313" spans="3:4" ht="14.25" customHeight="1" x14ac:dyDescent="0.35">
      <c r="C313" s="1" t="s">
        <v>330</v>
      </c>
      <c r="D313" s="3">
        <v>183919</v>
      </c>
    </row>
    <row r="314" spans="3:4" ht="14.25" customHeight="1" x14ac:dyDescent="0.35">
      <c r="C314" s="1" t="s">
        <v>442</v>
      </c>
      <c r="D314" s="3">
        <v>36312</v>
      </c>
    </row>
    <row r="315" spans="3:4" ht="14.25" customHeight="1" x14ac:dyDescent="0.35">
      <c r="C315" s="1" t="s">
        <v>191</v>
      </c>
      <c r="D315" s="3">
        <v>96530</v>
      </c>
    </row>
    <row r="316" spans="3:4" ht="14.25" customHeight="1" x14ac:dyDescent="0.35">
      <c r="C316" s="1" t="s">
        <v>578</v>
      </c>
      <c r="D316" s="3">
        <v>75482</v>
      </c>
    </row>
    <row r="317" spans="3:4" ht="14.25" customHeight="1" x14ac:dyDescent="0.35">
      <c r="C317" s="1" t="s">
        <v>288</v>
      </c>
      <c r="D317" s="3">
        <v>52691</v>
      </c>
    </row>
    <row r="318" spans="3:4" ht="14.25" customHeight="1" x14ac:dyDescent="0.35">
      <c r="C318" s="1" t="s">
        <v>182</v>
      </c>
      <c r="D318" s="3">
        <v>66506</v>
      </c>
    </row>
    <row r="319" spans="3:4" ht="14.25" customHeight="1" x14ac:dyDescent="0.35">
      <c r="C319" s="1" t="s">
        <v>713</v>
      </c>
      <c r="D319" s="3">
        <v>157532</v>
      </c>
    </row>
    <row r="320" spans="3:4" ht="14.25" customHeight="1" x14ac:dyDescent="0.35">
      <c r="C320" s="1" t="s">
        <v>405</v>
      </c>
      <c r="D320" s="3">
        <v>121963</v>
      </c>
    </row>
    <row r="321" spans="3:4" ht="14.25" customHeight="1" x14ac:dyDescent="0.35">
      <c r="C321" s="1" t="s">
        <v>682</v>
      </c>
      <c r="D321" s="3">
        <v>47647</v>
      </c>
    </row>
    <row r="322" spans="3:4" ht="14.25" customHeight="1" x14ac:dyDescent="0.35">
      <c r="C322" s="1" t="s">
        <v>572</v>
      </c>
      <c r="D322" s="3">
        <v>61132</v>
      </c>
    </row>
    <row r="323" spans="3:4" ht="14.25" customHeight="1" x14ac:dyDescent="0.35">
      <c r="C323" s="1" t="s">
        <v>716</v>
      </c>
      <c r="D323" s="3">
        <v>93537</v>
      </c>
    </row>
    <row r="324" spans="3:4" ht="14.25" customHeight="1" x14ac:dyDescent="0.35">
      <c r="C324" s="1" t="s">
        <v>364</v>
      </c>
      <c r="D324" s="3">
        <v>121132</v>
      </c>
    </row>
    <row r="325" spans="3:4" ht="14.25" customHeight="1" x14ac:dyDescent="0.35">
      <c r="C325" s="1" t="s">
        <v>354</v>
      </c>
      <c r="D325" s="3">
        <v>164095</v>
      </c>
    </row>
    <row r="326" spans="3:4" ht="14.25" customHeight="1" x14ac:dyDescent="0.35">
      <c r="C326" s="1" t="s">
        <v>435</v>
      </c>
      <c r="D326" s="3">
        <v>85755</v>
      </c>
    </row>
    <row r="327" spans="3:4" ht="14.25" customHeight="1" x14ac:dyDescent="0.35">
      <c r="C327" s="1" t="s">
        <v>788</v>
      </c>
      <c r="D327" s="3">
        <v>188465</v>
      </c>
    </row>
    <row r="328" spans="3:4" ht="14.25" customHeight="1" x14ac:dyDescent="0.35">
      <c r="C328" s="1" t="s">
        <v>248</v>
      </c>
      <c r="D328" s="3">
        <v>77538</v>
      </c>
    </row>
    <row r="329" spans="3:4" ht="14.25" customHeight="1" x14ac:dyDescent="0.35">
      <c r="C329" s="1" t="s">
        <v>471</v>
      </c>
      <c r="D329" s="3">
        <v>57946</v>
      </c>
    </row>
    <row r="330" spans="3:4" ht="14.25" customHeight="1" x14ac:dyDescent="0.35">
      <c r="C330" s="1" t="s">
        <v>453</v>
      </c>
      <c r="D330" s="3">
        <v>78288</v>
      </c>
    </row>
    <row r="331" spans="3:4" ht="14.25" customHeight="1" x14ac:dyDescent="0.35">
      <c r="C331" s="1" t="s">
        <v>512</v>
      </c>
      <c r="D331" s="3">
        <v>153487</v>
      </c>
    </row>
    <row r="332" spans="3:4" ht="14.25" customHeight="1" x14ac:dyDescent="0.35">
      <c r="C332" s="1" t="s">
        <v>416</v>
      </c>
      <c r="D332" s="3">
        <v>107466</v>
      </c>
    </row>
    <row r="333" spans="3:4" ht="14.25" customHeight="1" x14ac:dyDescent="0.35">
      <c r="C333" s="1" t="s">
        <v>508</v>
      </c>
      <c r="D333" s="3">
        <v>33384</v>
      </c>
    </row>
    <row r="334" spans="3:4" ht="14.25" customHeight="1" x14ac:dyDescent="0.35">
      <c r="C334" s="1" t="s">
        <v>261</v>
      </c>
      <c r="D334" s="3">
        <v>44365</v>
      </c>
    </row>
    <row r="335" spans="3:4" ht="14.25" customHeight="1" x14ac:dyDescent="0.35">
      <c r="C335" s="1" t="s">
        <v>479</v>
      </c>
      <c r="D335" s="3">
        <v>17745</v>
      </c>
    </row>
    <row r="336" spans="3:4" ht="14.25" customHeight="1" x14ac:dyDescent="0.35">
      <c r="C336" s="1" t="s">
        <v>777</v>
      </c>
      <c r="D336" s="3">
        <v>89774</v>
      </c>
    </row>
    <row r="337" spans="3:4" ht="14.25" customHeight="1" x14ac:dyDescent="0.35">
      <c r="C337" s="1" t="s">
        <v>263</v>
      </c>
      <c r="D337" s="3">
        <v>111299</v>
      </c>
    </row>
    <row r="338" spans="3:4" ht="14.25" customHeight="1" x14ac:dyDescent="0.35">
      <c r="C338" s="1" t="s">
        <v>62</v>
      </c>
      <c r="D338" s="3">
        <v>30461</v>
      </c>
    </row>
    <row r="339" spans="3:4" ht="14.25" customHeight="1" x14ac:dyDescent="0.35">
      <c r="C339" s="1" t="s">
        <v>10</v>
      </c>
      <c r="D339" s="3">
        <v>155937</v>
      </c>
    </row>
    <row r="340" spans="3:4" ht="14.25" customHeight="1" x14ac:dyDescent="0.35">
      <c r="C340" s="1" t="s">
        <v>485</v>
      </c>
      <c r="D340" s="3">
        <v>17177</v>
      </c>
    </row>
    <row r="341" spans="3:4" ht="14.25" customHeight="1" x14ac:dyDescent="0.35">
      <c r="C341" s="1" t="s">
        <v>464</v>
      </c>
      <c r="D341" s="3">
        <v>133713</v>
      </c>
    </row>
    <row r="342" spans="3:4" ht="14.25" customHeight="1" x14ac:dyDescent="0.35">
      <c r="C342" s="1" t="s">
        <v>144</v>
      </c>
      <c r="D342" s="3">
        <v>12216</v>
      </c>
    </row>
    <row r="343" spans="3:4" ht="14.25" customHeight="1" x14ac:dyDescent="0.35">
      <c r="C343" s="1" t="s">
        <v>110</v>
      </c>
      <c r="D343" s="3">
        <v>105728</v>
      </c>
    </row>
    <row r="344" spans="3:4" ht="14.25" customHeight="1" x14ac:dyDescent="0.35">
      <c r="C344" s="1" t="s">
        <v>492</v>
      </c>
      <c r="D344" s="3">
        <v>87849</v>
      </c>
    </row>
    <row r="345" spans="3:4" ht="14.25" customHeight="1" x14ac:dyDescent="0.35">
      <c r="C345" s="1" t="s">
        <v>601</v>
      </c>
      <c r="D345" s="3">
        <v>173125</v>
      </c>
    </row>
    <row r="346" spans="3:4" ht="14.25" customHeight="1" x14ac:dyDescent="0.35">
      <c r="C346" s="1" t="s">
        <v>575</v>
      </c>
      <c r="D346" s="3">
        <v>17146</v>
      </c>
    </row>
    <row r="347" spans="3:4" ht="14.25" customHeight="1" x14ac:dyDescent="0.35">
      <c r="C347" s="1" t="s">
        <v>639</v>
      </c>
      <c r="D347" s="3">
        <v>51730</v>
      </c>
    </row>
    <row r="348" spans="3:4" ht="14.25" customHeight="1" x14ac:dyDescent="0.35">
      <c r="C348" s="1" t="s">
        <v>408</v>
      </c>
      <c r="D348" s="3">
        <v>63818</v>
      </c>
    </row>
    <row r="349" spans="3:4" ht="14.25" customHeight="1" x14ac:dyDescent="0.35">
      <c r="C349" s="1" t="s">
        <v>254</v>
      </c>
      <c r="D349" s="3">
        <v>74941</v>
      </c>
    </row>
    <row r="350" spans="3:4" ht="14.25" customHeight="1" x14ac:dyDescent="0.35">
      <c r="C350" s="1" t="s">
        <v>637</v>
      </c>
      <c r="D350" s="3">
        <v>138221</v>
      </c>
    </row>
    <row r="351" spans="3:4" ht="14.25" customHeight="1" x14ac:dyDescent="0.35">
      <c r="C351" s="1" t="s">
        <v>782</v>
      </c>
      <c r="D351" s="3">
        <v>156416</v>
      </c>
    </row>
    <row r="352" spans="3:4" ht="14.25" customHeight="1" x14ac:dyDescent="0.35">
      <c r="C352" s="1" t="s">
        <v>243</v>
      </c>
      <c r="D352" s="3">
        <v>123808</v>
      </c>
    </row>
    <row r="353" spans="3:4" ht="14.25" customHeight="1" x14ac:dyDescent="0.35">
      <c r="C353" s="1" t="s">
        <v>177</v>
      </c>
      <c r="D353" s="3">
        <v>21876</v>
      </c>
    </row>
    <row r="354" spans="3:4" ht="14.25" customHeight="1" x14ac:dyDescent="0.35">
      <c r="C354" s="1" t="s">
        <v>594</v>
      </c>
      <c r="D354" s="3">
        <v>146416</v>
      </c>
    </row>
    <row r="355" spans="3:4" ht="14.25" customHeight="1" x14ac:dyDescent="0.35">
      <c r="C355" s="1" t="s">
        <v>686</v>
      </c>
      <c r="D355" s="3">
        <v>78413</v>
      </c>
    </row>
    <row r="356" spans="3:4" ht="14.25" customHeight="1" x14ac:dyDescent="0.35">
      <c r="C356" s="1" t="s">
        <v>724</v>
      </c>
      <c r="D356" s="3">
        <v>64962</v>
      </c>
    </row>
    <row r="357" spans="3:4" ht="14.25" customHeight="1" x14ac:dyDescent="0.35">
      <c r="C357" s="1" t="s">
        <v>221</v>
      </c>
      <c r="D357" s="3">
        <v>170796</v>
      </c>
    </row>
    <row r="358" spans="3:4" ht="14.25" customHeight="1" x14ac:dyDescent="0.35">
      <c r="C358" s="1" t="s">
        <v>38</v>
      </c>
      <c r="D358" s="3">
        <v>41949</v>
      </c>
    </row>
    <row r="359" spans="3:4" ht="14.25" customHeight="1" x14ac:dyDescent="0.35">
      <c r="C359" s="1" t="s">
        <v>287</v>
      </c>
      <c r="D359" s="3">
        <v>38246</v>
      </c>
    </row>
    <row r="360" spans="3:4" ht="14.25" customHeight="1" x14ac:dyDescent="0.35">
      <c r="C360" s="1" t="s">
        <v>711</v>
      </c>
      <c r="D360" s="3">
        <v>146595</v>
      </c>
    </row>
    <row r="361" spans="3:4" ht="14.25" customHeight="1" x14ac:dyDescent="0.35">
      <c r="C361" s="1" t="s">
        <v>550</v>
      </c>
      <c r="D361" s="3">
        <v>127239</v>
      </c>
    </row>
    <row r="362" spans="3:4" ht="14.25" customHeight="1" x14ac:dyDescent="0.35">
      <c r="C362" s="1" t="s">
        <v>400</v>
      </c>
      <c r="D362" s="3">
        <v>164307</v>
      </c>
    </row>
    <row r="363" spans="3:4" ht="14.25" customHeight="1" x14ac:dyDescent="0.35">
      <c r="C363" s="1" t="s">
        <v>656</v>
      </c>
      <c r="D363" s="3">
        <v>30494</v>
      </c>
    </row>
    <row r="364" spans="3:4" ht="14.25" customHeight="1" x14ac:dyDescent="0.35">
      <c r="C364" s="1" t="s">
        <v>271</v>
      </c>
      <c r="D364" s="3">
        <v>49648</v>
      </c>
    </row>
    <row r="365" spans="3:4" ht="14.25" customHeight="1" x14ac:dyDescent="0.35">
      <c r="C365" s="1" t="s">
        <v>764</v>
      </c>
      <c r="D365" s="3">
        <v>49059</v>
      </c>
    </row>
    <row r="366" spans="3:4" ht="14.25" customHeight="1" x14ac:dyDescent="0.35">
      <c r="C366" s="1" t="s">
        <v>433</v>
      </c>
      <c r="D366" s="3">
        <v>43605</v>
      </c>
    </row>
    <row r="367" spans="3:4" ht="14.25" customHeight="1" x14ac:dyDescent="0.35">
      <c r="C367" s="1" t="s">
        <v>278</v>
      </c>
      <c r="D367" s="3">
        <v>134633</v>
      </c>
    </row>
    <row r="368" spans="3:4" ht="14.25" customHeight="1" x14ac:dyDescent="0.35">
      <c r="C368" s="1" t="s">
        <v>234</v>
      </c>
      <c r="D368" s="3">
        <v>48353</v>
      </c>
    </row>
    <row r="369" spans="3:4" ht="14.25" customHeight="1" x14ac:dyDescent="0.35">
      <c r="C369" s="1" t="s">
        <v>780</v>
      </c>
      <c r="D369" s="3">
        <v>80681</v>
      </c>
    </row>
    <row r="370" spans="3:4" ht="14.25" customHeight="1" x14ac:dyDescent="0.35">
      <c r="C370" s="1" t="s">
        <v>562</v>
      </c>
      <c r="D370" s="3">
        <v>52347</v>
      </c>
    </row>
    <row r="371" spans="3:4" ht="14.25" customHeight="1" x14ac:dyDescent="0.35">
      <c r="C371" s="1" t="s">
        <v>525</v>
      </c>
      <c r="D371" s="3">
        <v>189464</v>
      </c>
    </row>
    <row r="372" spans="3:4" ht="14.25" customHeight="1" x14ac:dyDescent="0.35">
      <c r="C372" s="1" t="s">
        <v>503</v>
      </c>
      <c r="D372" s="3">
        <v>9418</v>
      </c>
    </row>
    <row r="373" spans="3:4" ht="14.25" customHeight="1" x14ac:dyDescent="0.35">
      <c r="C373" s="1" t="s">
        <v>521</v>
      </c>
      <c r="D373" s="3">
        <v>137029</v>
      </c>
    </row>
    <row r="374" spans="3:4" ht="14.25" customHeight="1" x14ac:dyDescent="0.35">
      <c r="C374" s="1" t="s">
        <v>437</v>
      </c>
      <c r="D374" s="3">
        <v>100698</v>
      </c>
    </row>
    <row r="375" spans="3:4" ht="14.25" customHeight="1" x14ac:dyDescent="0.35">
      <c r="C375" s="1" t="s">
        <v>199</v>
      </c>
      <c r="D375" s="3">
        <v>51148</v>
      </c>
    </row>
    <row r="376" spans="3:4" ht="14.25" customHeight="1" x14ac:dyDescent="0.35">
      <c r="C376" s="1" t="s">
        <v>304</v>
      </c>
      <c r="D376" s="3">
        <v>123157</v>
      </c>
    </row>
    <row r="377" spans="3:4" ht="14.25" customHeight="1" x14ac:dyDescent="0.35">
      <c r="C377" s="1" t="s">
        <v>211</v>
      </c>
      <c r="D377" s="3">
        <v>71971</v>
      </c>
    </row>
    <row r="378" spans="3:4" ht="14.25" customHeight="1" x14ac:dyDescent="0.35">
      <c r="C378" s="1" t="s">
        <v>655</v>
      </c>
      <c r="D378" s="3">
        <v>29271</v>
      </c>
    </row>
    <row r="379" spans="3:4" ht="14.25" customHeight="1" x14ac:dyDescent="0.35">
      <c r="C379" s="1" t="s">
        <v>406</v>
      </c>
      <c r="D379" s="3">
        <v>32890</v>
      </c>
    </row>
    <row r="380" spans="3:4" ht="14.25" customHeight="1" x14ac:dyDescent="0.35">
      <c r="C380" s="1" t="s">
        <v>365</v>
      </c>
      <c r="D380" s="3">
        <v>19802</v>
      </c>
    </row>
    <row r="381" spans="3:4" ht="14.25" customHeight="1" x14ac:dyDescent="0.35">
      <c r="C381" s="1" t="s">
        <v>705</v>
      </c>
      <c r="D381" s="3">
        <v>164198</v>
      </c>
    </row>
    <row r="382" spans="3:4" ht="14.25" customHeight="1" x14ac:dyDescent="0.35">
      <c r="C382" s="1" t="s">
        <v>285</v>
      </c>
      <c r="D382" s="3">
        <v>154662</v>
      </c>
    </row>
    <row r="383" spans="3:4" ht="14.25" customHeight="1" x14ac:dyDescent="0.35">
      <c r="C383" s="1" t="s">
        <v>457</v>
      </c>
      <c r="D383" s="3">
        <v>125448</v>
      </c>
    </row>
    <row r="384" spans="3:4" ht="14.25" customHeight="1" x14ac:dyDescent="0.35">
      <c r="C384" s="1" t="s">
        <v>360</v>
      </c>
      <c r="D384" s="3">
        <v>108529</v>
      </c>
    </row>
    <row r="385" spans="3:4" ht="14.25" customHeight="1" x14ac:dyDescent="0.35">
      <c r="C385" s="1" t="s">
        <v>681</v>
      </c>
      <c r="D385" s="3">
        <v>24480</v>
      </c>
    </row>
    <row r="386" spans="3:4" ht="14.25" customHeight="1" x14ac:dyDescent="0.35">
      <c r="C386" s="1" t="s">
        <v>500</v>
      </c>
      <c r="D386" s="3">
        <v>159414</v>
      </c>
    </row>
    <row r="387" spans="3:4" ht="14.25" customHeight="1" x14ac:dyDescent="0.35">
      <c r="C387" s="1" t="s">
        <v>718</v>
      </c>
      <c r="D387" s="3">
        <v>111312</v>
      </c>
    </row>
    <row r="388" spans="3:4" ht="14.25" customHeight="1" x14ac:dyDescent="0.35">
      <c r="C388" s="1" t="s">
        <v>332</v>
      </c>
      <c r="D388" s="3">
        <v>139684</v>
      </c>
    </row>
    <row r="389" spans="3:4" ht="14.25" customHeight="1" x14ac:dyDescent="0.35">
      <c r="C389" s="1" t="s">
        <v>758</v>
      </c>
      <c r="D389" s="3">
        <v>111801</v>
      </c>
    </row>
    <row r="390" spans="3:4" ht="14.25" customHeight="1" x14ac:dyDescent="0.35">
      <c r="C390" s="1" t="s">
        <v>795</v>
      </c>
      <c r="D390" s="3">
        <v>109818</v>
      </c>
    </row>
    <row r="391" spans="3:4" ht="14.25" customHeight="1" x14ac:dyDescent="0.35">
      <c r="C391" s="1" t="s">
        <v>318</v>
      </c>
      <c r="D391" s="3">
        <v>34025</v>
      </c>
    </row>
    <row r="392" spans="3:4" ht="14.25" customHeight="1" x14ac:dyDescent="0.35">
      <c r="C392" s="1" t="s">
        <v>658</v>
      </c>
      <c r="D392" s="3">
        <v>66921</v>
      </c>
    </row>
    <row r="393" spans="3:4" ht="14.25" customHeight="1" x14ac:dyDescent="0.35">
      <c r="C393" s="1" t="s">
        <v>640</v>
      </c>
      <c r="D393" s="3">
        <v>27700</v>
      </c>
    </row>
    <row r="394" spans="3:4" ht="14.25" customHeight="1" x14ac:dyDescent="0.35">
      <c r="C394" s="1" t="s">
        <v>676</v>
      </c>
      <c r="D394" s="3">
        <v>92464</v>
      </c>
    </row>
    <row r="395" spans="3:4" ht="14.25" customHeight="1" x14ac:dyDescent="0.35">
      <c r="C395" s="1" t="s">
        <v>423</v>
      </c>
      <c r="D395" s="3">
        <v>34281</v>
      </c>
    </row>
    <row r="396" spans="3:4" ht="14.25" customHeight="1" x14ac:dyDescent="0.35">
      <c r="C396" s="1" t="s">
        <v>326</v>
      </c>
      <c r="D396" s="3">
        <v>63755</v>
      </c>
    </row>
    <row r="397" spans="3:4" ht="14.25" customHeight="1" x14ac:dyDescent="0.35">
      <c r="C397" s="1" t="s">
        <v>470</v>
      </c>
      <c r="D397" s="3">
        <v>110229</v>
      </c>
    </row>
    <row r="398" spans="3:4" ht="14.25" customHeight="1" x14ac:dyDescent="0.35">
      <c r="C398" s="1" t="s">
        <v>736</v>
      </c>
      <c r="D398" s="3">
        <v>30890</v>
      </c>
    </row>
    <row r="399" spans="3:4" ht="14.25" customHeight="1" x14ac:dyDescent="0.35">
      <c r="C399" s="1" t="s">
        <v>455</v>
      </c>
      <c r="D399" s="3">
        <v>14000</v>
      </c>
    </row>
    <row r="400" spans="3:4" ht="14.25" customHeight="1" x14ac:dyDescent="0.35">
      <c r="C400" s="1" t="s">
        <v>342</v>
      </c>
      <c r="D400" s="3">
        <v>103542</v>
      </c>
    </row>
    <row r="401" spans="3:4" ht="14.25" customHeight="1" x14ac:dyDescent="0.35">
      <c r="C401" s="1" t="s">
        <v>338</v>
      </c>
      <c r="D401" s="3">
        <v>155800</v>
      </c>
    </row>
    <row r="402" spans="3:4" ht="14.25" customHeight="1" x14ac:dyDescent="0.35">
      <c r="C402" s="1" t="s">
        <v>387</v>
      </c>
      <c r="D402" s="3">
        <v>46138</v>
      </c>
    </row>
    <row r="403" spans="3:4" ht="14.25" customHeight="1" x14ac:dyDescent="0.35">
      <c r="C403" s="1" t="s">
        <v>626</v>
      </c>
      <c r="D403" s="3">
        <v>74861</v>
      </c>
    </row>
    <row r="404" spans="3:4" ht="14.25" customHeight="1" x14ac:dyDescent="0.35">
      <c r="C404" s="1" t="s">
        <v>86</v>
      </c>
      <c r="D404" s="3">
        <v>86372</v>
      </c>
    </row>
    <row r="405" spans="3:4" ht="14.25" customHeight="1" x14ac:dyDescent="0.35">
      <c r="C405" s="1" t="s">
        <v>422</v>
      </c>
      <c r="D405" s="3">
        <v>173520</v>
      </c>
    </row>
    <row r="406" spans="3:4" ht="14.25" customHeight="1" x14ac:dyDescent="0.35">
      <c r="C406" s="1" t="s">
        <v>168</v>
      </c>
      <c r="D406" s="3">
        <v>156112</v>
      </c>
    </row>
    <row r="407" spans="3:4" ht="14.25" customHeight="1" x14ac:dyDescent="0.35">
      <c r="C407" s="1" t="s">
        <v>90</v>
      </c>
      <c r="D407" s="3">
        <v>118604</v>
      </c>
    </row>
    <row r="408" spans="3:4" ht="14.25" customHeight="1" x14ac:dyDescent="0.35">
      <c r="C408" s="1" t="s">
        <v>722</v>
      </c>
      <c r="D408" s="3">
        <v>45389</v>
      </c>
    </row>
    <row r="409" spans="3:4" ht="14.25" customHeight="1" x14ac:dyDescent="0.35">
      <c r="C409" s="1" t="s">
        <v>495</v>
      </c>
      <c r="D409" s="3">
        <v>142406</v>
      </c>
    </row>
    <row r="410" spans="3:4" ht="14.25" customHeight="1" x14ac:dyDescent="0.35">
      <c r="C410" s="1" t="s">
        <v>597</v>
      </c>
      <c r="D410" s="3">
        <v>115552</v>
      </c>
    </row>
    <row r="411" spans="3:4" ht="14.25" customHeight="1" x14ac:dyDescent="0.35">
      <c r="C411" s="1" t="s">
        <v>392</v>
      </c>
      <c r="D411" s="3">
        <v>50091</v>
      </c>
    </row>
    <row r="412" spans="3:4" ht="14.25" customHeight="1" x14ac:dyDescent="0.35">
      <c r="C412" s="1" t="s">
        <v>675</v>
      </c>
      <c r="D412" s="3">
        <v>144867</v>
      </c>
    </row>
    <row r="413" spans="3:4" ht="14.25" customHeight="1" x14ac:dyDescent="0.35">
      <c r="C413" s="1" t="s">
        <v>515</v>
      </c>
      <c r="D413" s="3">
        <v>156430</v>
      </c>
    </row>
    <row r="414" spans="3:4" ht="14.25" customHeight="1" x14ac:dyDescent="0.35">
      <c r="C414" s="1" t="s">
        <v>302</v>
      </c>
      <c r="D414" s="3">
        <v>149850</v>
      </c>
    </row>
    <row r="415" spans="3:4" ht="14.25" customHeight="1" x14ac:dyDescent="0.35">
      <c r="C415" s="1" t="s">
        <v>563</v>
      </c>
      <c r="D415" s="3">
        <v>185237</v>
      </c>
    </row>
    <row r="416" spans="3:4" ht="14.25" customHeight="1" x14ac:dyDescent="0.35">
      <c r="C416" s="1" t="s">
        <v>696</v>
      </c>
      <c r="D416" s="3">
        <v>110634</v>
      </c>
    </row>
    <row r="417" spans="3:4" ht="14.25" customHeight="1" x14ac:dyDescent="0.35">
      <c r="C417" s="1" t="s">
        <v>74</v>
      </c>
      <c r="D417" s="3">
        <v>77927</v>
      </c>
    </row>
    <row r="418" spans="3:4" ht="14.25" customHeight="1" x14ac:dyDescent="0.35">
      <c r="C418" s="1" t="s">
        <v>744</v>
      </c>
      <c r="D418" s="3">
        <v>162033</v>
      </c>
    </row>
    <row r="419" spans="3:4" ht="14.25" customHeight="1" x14ac:dyDescent="0.35">
      <c r="C419" s="1" t="s">
        <v>733</v>
      </c>
      <c r="D419" s="3">
        <v>61502</v>
      </c>
    </row>
    <row r="420" spans="3:4" ht="14.25" customHeight="1" x14ac:dyDescent="0.35">
      <c r="C420" s="1" t="s">
        <v>268</v>
      </c>
      <c r="D420" s="3">
        <v>110170</v>
      </c>
    </row>
    <row r="421" spans="3:4" ht="14.25" customHeight="1" x14ac:dyDescent="0.35">
      <c r="C421" s="1" t="s">
        <v>353</v>
      </c>
      <c r="D421" s="3">
        <v>113224</v>
      </c>
    </row>
    <row r="422" spans="3:4" ht="14.25" customHeight="1" x14ac:dyDescent="0.35">
      <c r="C422" s="1" t="s">
        <v>73</v>
      </c>
      <c r="D422" s="3">
        <v>155786</v>
      </c>
    </row>
    <row r="423" spans="3:4" ht="14.25" customHeight="1" x14ac:dyDescent="0.35">
      <c r="C423" s="1" t="s">
        <v>481</v>
      </c>
      <c r="D423" s="3">
        <v>129002</v>
      </c>
    </row>
    <row r="424" spans="3:4" ht="14.25" customHeight="1" x14ac:dyDescent="0.35">
      <c r="C424" s="1" t="s">
        <v>258</v>
      </c>
      <c r="D424" s="3">
        <v>158871</v>
      </c>
    </row>
    <row r="425" spans="3:4" ht="14.25" customHeight="1" x14ac:dyDescent="0.35">
      <c r="C425" s="1" t="s">
        <v>714</v>
      </c>
      <c r="D425" s="3">
        <v>125352</v>
      </c>
    </row>
    <row r="426" spans="3:4" ht="14.25" customHeight="1" x14ac:dyDescent="0.35">
      <c r="C426" s="1" t="s">
        <v>644</v>
      </c>
      <c r="D426" s="3">
        <v>39210</v>
      </c>
    </row>
    <row r="427" spans="3:4" ht="14.25" customHeight="1" x14ac:dyDescent="0.35">
      <c r="C427" s="1" t="s">
        <v>794</v>
      </c>
      <c r="D427" s="3">
        <v>60880</v>
      </c>
    </row>
    <row r="428" spans="3:4" ht="14.25" customHeight="1" x14ac:dyDescent="0.35">
      <c r="C428" s="1" t="s">
        <v>605</v>
      </c>
      <c r="D428" s="3">
        <v>52402</v>
      </c>
    </row>
    <row r="429" spans="3:4" ht="14.25" customHeight="1" x14ac:dyDescent="0.35">
      <c r="C429" s="1" t="s">
        <v>773</v>
      </c>
      <c r="D429" s="3">
        <v>45505</v>
      </c>
    </row>
    <row r="430" spans="3:4" ht="14.25" customHeight="1" x14ac:dyDescent="0.35">
      <c r="C430" s="1" t="s">
        <v>82</v>
      </c>
      <c r="D430" s="3">
        <v>45602</v>
      </c>
    </row>
    <row r="431" spans="3:4" ht="14.25" customHeight="1" x14ac:dyDescent="0.35">
      <c r="C431" s="1" t="s">
        <v>109</v>
      </c>
      <c r="D431" s="3">
        <v>161178</v>
      </c>
    </row>
    <row r="432" spans="3:4" ht="14.25" customHeight="1" x14ac:dyDescent="0.35">
      <c r="C432" s="1" t="s">
        <v>574</v>
      </c>
      <c r="D432" s="3">
        <v>72614</v>
      </c>
    </row>
    <row r="433" spans="3:4" ht="14.25" customHeight="1" x14ac:dyDescent="0.35">
      <c r="C433" s="1" t="s">
        <v>760</v>
      </c>
      <c r="D433" s="3">
        <v>188994</v>
      </c>
    </row>
    <row r="434" spans="3:4" ht="14.25" customHeight="1" x14ac:dyDescent="0.35">
      <c r="C434" s="1" t="s">
        <v>172</v>
      </c>
      <c r="D434" s="3">
        <v>82893</v>
      </c>
    </row>
    <row r="435" spans="3:4" ht="14.25" customHeight="1" x14ac:dyDescent="0.35">
      <c r="C435" s="1" t="s">
        <v>410</v>
      </c>
      <c r="D435" s="3">
        <v>140795</v>
      </c>
    </row>
    <row r="436" spans="3:4" ht="14.25" customHeight="1" x14ac:dyDescent="0.35">
      <c r="C436" s="1" t="s">
        <v>228</v>
      </c>
      <c r="D436" s="3">
        <v>109991</v>
      </c>
    </row>
    <row r="437" spans="3:4" ht="14.25" customHeight="1" x14ac:dyDescent="0.35">
      <c r="C437" s="1" t="s">
        <v>438</v>
      </c>
      <c r="D437" s="3">
        <v>52909</v>
      </c>
    </row>
    <row r="438" spans="3:4" ht="14.25" customHeight="1" x14ac:dyDescent="0.35">
      <c r="C438" s="1" t="s">
        <v>690</v>
      </c>
      <c r="D438" s="3">
        <v>46980</v>
      </c>
    </row>
    <row r="439" spans="3:4" ht="14.25" customHeight="1" x14ac:dyDescent="0.35">
      <c r="C439" s="1" t="s">
        <v>566</v>
      </c>
      <c r="D439" s="3">
        <v>42173</v>
      </c>
    </row>
    <row r="440" spans="3:4" ht="14.25" customHeight="1" x14ac:dyDescent="0.35">
      <c r="C440" s="1" t="s">
        <v>793</v>
      </c>
      <c r="D440" s="3">
        <v>72529</v>
      </c>
    </row>
    <row r="441" spans="3:4" ht="14.25" customHeight="1" x14ac:dyDescent="0.35">
      <c r="C441" s="1" t="s">
        <v>608</v>
      </c>
      <c r="D441" s="3">
        <v>42632</v>
      </c>
    </row>
    <row r="442" spans="3:4" ht="14.25" customHeight="1" x14ac:dyDescent="0.35">
      <c r="C442" s="1" t="s">
        <v>593</v>
      </c>
      <c r="D442" s="3">
        <v>34297</v>
      </c>
    </row>
    <row r="443" spans="3:4" ht="14.25" customHeight="1" x14ac:dyDescent="0.35">
      <c r="C443" s="1" t="s">
        <v>545</v>
      </c>
      <c r="D443" s="3">
        <v>172040</v>
      </c>
    </row>
    <row r="444" spans="3:4" ht="14.25" customHeight="1" x14ac:dyDescent="0.35">
      <c r="C444" s="1" t="s">
        <v>359</v>
      </c>
      <c r="D444" s="3">
        <v>128691</v>
      </c>
    </row>
    <row r="445" spans="3:4" ht="14.25" customHeight="1" x14ac:dyDescent="0.35">
      <c r="C445" s="1" t="s">
        <v>95</v>
      </c>
      <c r="D445" s="3">
        <v>95348</v>
      </c>
    </row>
    <row r="446" spans="3:4" ht="14.25" customHeight="1" x14ac:dyDescent="0.35">
      <c r="C446" s="1" t="s">
        <v>610</v>
      </c>
      <c r="D446" s="3">
        <v>59918</v>
      </c>
    </row>
    <row r="447" spans="3:4" ht="14.25" customHeight="1" x14ac:dyDescent="0.35">
      <c r="C447" s="1" t="s">
        <v>659</v>
      </c>
      <c r="D447" s="3">
        <v>35878</v>
      </c>
    </row>
    <row r="448" spans="3:4" ht="14.25" customHeight="1" x14ac:dyDescent="0.35">
      <c r="C448" s="1" t="s">
        <v>624</v>
      </c>
      <c r="D448" s="3">
        <v>57710</v>
      </c>
    </row>
    <row r="449" spans="3:4" ht="14.25" customHeight="1" x14ac:dyDescent="0.35">
      <c r="C449" s="1" t="s">
        <v>499</v>
      </c>
      <c r="D449" s="3">
        <v>40531</v>
      </c>
    </row>
    <row r="450" spans="3:4" ht="14.25" customHeight="1" x14ac:dyDescent="0.35">
      <c r="C450" s="1" t="s">
        <v>239</v>
      </c>
      <c r="D450" s="3">
        <v>137692</v>
      </c>
    </row>
    <row r="451" spans="3:4" ht="14.25" customHeight="1" x14ac:dyDescent="0.35">
      <c r="C451" s="1" t="s">
        <v>552</v>
      </c>
      <c r="D451" s="3">
        <v>177379</v>
      </c>
    </row>
    <row r="452" spans="3:4" ht="14.25" customHeight="1" x14ac:dyDescent="0.35">
      <c r="C452" s="1" t="s">
        <v>772</v>
      </c>
      <c r="D452" s="3">
        <v>30953</v>
      </c>
    </row>
    <row r="453" spans="3:4" ht="14.25" customHeight="1" x14ac:dyDescent="0.35">
      <c r="C453" s="1" t="s">
        <v>776</v>
      </c>
      <c r="D453" s="3">
        <v>21023</v>
      </c>
    </row>
    <row r="454" spans="3:4" ht="14.25" customHeight="1" x14ac:dyDescent="0.35">
      <c r="C454" s="1" t="s">
        <v>230</v>
      </c>
      <c r="D454" s="3">
        <v>38608</v>
      </c>
    </row>
    <row r="455" spans="3:4" ht="14.25" customHeight="1" x14ac:dyDescent="0.35">
      <c r="C455" s="1" t="s">
        <v>445</v>
      </c>
      <c r="D455" s="3">
        <v>21190</v>
      </c>
    </row>
    <row r="456" spans="3:4" ht="14.25" customHeight="1" x14ac:dyDescent="0.35">
      <c r="C456" s="1" t="s">
        <v>749</v>
      </c>
      <c r="D456" s="3">
        <v>47711</v>
      </c>
    </row>
    <row r="457" spans="3:4" ht="14.25" customHeight="1" x14ac:dyDescent="0.35">
      <c r="C457" s="1" t="s">
        <v>452</v>
      </c>
      <c r="D457" s="3">
        <v>54096</v>
      </c>
    </row>
    <row r="458" spans="3:4" ht="14.25" customHeight="1" x14ac:dyDescent="0.35">
      <c r="C458" s="1" t="s">
        <v>494</v>
      </c>
      <c r="D458" s="3">
        <v>33144</v>
      </c>
    </row>
    <row r="459" spans="3:4" ht="14.25" customHeight="1" x14ac:dyDescent="0.35">
      <c r="C459" s="1" t="s">
        <v>238</v>
      </c>
      <c r="D459" s="3">
        <v>123772</v>
      </c>
    </row>
    <row r="460" spans="3:4" ht="14.25" customHeight="1" x14ac:dyDescent="0.35">
      <c r="C460" s="1" t="s">
        <v>612</v>
      </c>
      <c r="D460" s="3">
        <v>168137</v>
      </c>
    </row>
    <row r="461" spans="3:4" ht="14.25" customHeight="1" x14ac:dyDescent="0.35">
      <c r="C461" s="1" t="s">
        <v>305</v>
      </c>
      <c r="D461" s="3">
        <v>9671</v>
      </c>
    </row>
    <row r="462" spans="3:4" ht="14.25" customHeight="1" x14ac:dyDescent="0.35">
      <c r="C462" s="1" t="s">
        <v>636</v>
      </c>
      <c r="D462" s="3">
        <v>136334</v>
      </c>
    </row>
    <row r="463" spans="3:4" ht="14.25" customHeight="1" x14ac:dyDescent="0.35">
      <c r="C463" s="1" t="s">
        <v>613</v>
      </c>
      <c r="D463" s="3">
        <v>39852</v>
      </c>
    </row>
    <row r="464" spans="3:4" ht="14.25" customHeight="1" x14ac:dyDescent="0.35">
      <c r="C464" s="1" t="s">
        <v>468</v>
      </c>
      <c r="D464" s="3">
        <v>168443</v>
      </c>
    </row>
    <row r="465" spans="3:4" ht="14.25" customHeight="1" x14ac:dyDescent="0.35">
      <c r="C465" s="1" t="s">
        <v>617</v>
      </c>
      <c r="D465" s="3">
        <v>157051</v>
      </c>
    </row>
    <row r="466" spans="3:4" ht="14.25" customHeight="1" x14ac:dyDescent="0.35">
      <c r="C466" s="1" t="s">
        <v>604</v>
      </c>
      <c r="D466" s="3">
        <v>113871</v>
      </c>
    </row>
    <row r="467" spans="3:4" ht="14.25" customHeight="1" x14ac:dyDescent="0.35">
      <c r="C467" s="1" t="s">
        <v>291</v>
      </c>
      <c r="D467" s="3">
        <v>42414</v>
      </c>
    </row>
    <row r="468" spans="3:4" ht="14.25" customHeight="1" x14ac:dyDescent="0.35">
      <c r="C468" s="1" t="s">
        <v>18</v>
      </c>
      <c r="D468" s="3">
        <v>128189</v>
      </c>
    </row>
    <row r="469" spans="3:4" ht="14.25" customHeight="1" x14ac:dyDescent="0.35">
      <c r="C469" s="1" t="s">
        <v>577</v>
      </c>
      <c r="D469" s="3">
        <v>135386</v>
      </c>
    </row>
    <row r="470" spans="3:4" ht="14.25" customHeight="1" x14ac:dyDescent="0.35">
      <c r="C470" s="1" t="s">
        <v>253</v>
      </c>
      <c r="D470" s="3">
        <v>138026</v>
      </c>
    </row>
    <row r="471" spans="3:4" ht="14.25" customHeight="1" x14ac:dyDescent="0.35">
      <c r="C471" s="1" t="s">
        <v>697</v>
      </c>
      <c r="D471" s="3">
        <v>189933</v>
      </c>
    </row>
    <row r="472" spans="3:4" ht="14.25" customHeight="1" x14ac:dyDescent="0.35">
      <c r="C472" s="1" t="s">
        <v>555</v>
      </c>
      <c r="D472" s="3">
        <v>55674</v>
      </c>
    </row>
    <row r="473" spans="3:4" ht="14.25" customHeight="1" x14ac:dyDescent="0.35">
      <c r="C473" s="1" t="s">
        <v>331</v>
      </c>
      <c r="D473" s="3">
        <v>157181</v>
      </c>
    </row>
    <row r="474" spans="3:4" ht="14.25" customHeight="1" x14ac:dyDescent="0.35">
      <c r="C474" s="1" t="s">
        <v>679</v>
      </c>
      <c r="D474" s="3">
        <v>74208</v>
      </c>
    </row>
    <row r="475" spans="3:4" ht="14.25" customHeight="1" x14ac:dyDescent="0.35">
      <c r="C475" s="1" t="s">
        <v>755</v>
      </c>
      <c r="D475" s="3">
        <v>84576</v>
      </c>
    </row>
    <row r="476" spans="3:4" ht="14.25" customHeight="1" x14ac:dyDescent="0.35">
      <c r="C476" s="1" t="s">
        <v>762</v>
      </c>
      <c r="D476" s="3">
        <v>56139</v>
      </c>
    </row>
    <row r="477" spans="3:4" ht="14.25" customHeight="1" x14ac:dyDescent="0.35">
      <c r="C477" s="1" t="s">
        <v>691</v>
      </c>
      <c r="D477" s="3">
        <v>133811</v>
      </c>
    </row>
    <row r="478" spans="3:4" ht="14.25" customHeight="1" x14ac:dyDescent="0.35">
      <c r="C478" s="1" t="s">
        <v>212</v>
      </c>
      <c r="D478" s="3">
        <v>71611</v>
      </c>
    </row>
    <row r="479" spans="3:4" ht="14.25" customHeight="1" x14ac:dyDescent="0.35">
      <c r="C479" s="1" t="s">
        <v>345</v>
      </c>
      <c r="D479" s="3">
        <v>13536</v>
      </c>
    </row>
    <row r="480" spans="3:4" ht="14.25" customHeight="1" x14ac:dyDescent="0.35">
      <c r="C480" s="1" t="s">
        <v>693</v>
      </c>
      <c r="D480" s="3">
        <v>98784</v>
      </c>
    </row>
    <row r="481" spans="3:4" ht="14.25" customHeight="1" x14ac:dyDescent="0.35">
      <c r="C481" s="1" t="s">
        <v>627</v>
      </c>
      <c r="D481" s="3">
        <v>62365</v>
      </c>
    </row>
    <row r="482" spans="3:4" ht="14.25" customHeight="1" x14ac:dyDescent="0.35">
      <c r="C482" s="1" t="s">
        <v>249</v>
      </c>
      <c r="D482" s="3">
        <v>183858</v>
      </c>
    </row>
    <row r="483" spans="3:4" ht="14.25" customHeight="1" x14ac:dyDescent="0.35">
      <c r="C483" s="1" t="s">
        <v>117</v>
      </c>
      <c r="D483" s="3">
        <v>174578</v>
      </c>
    </row>
    <row r="484" spans="3:4" ht="14.25" customHeight="1" x14ac:dyDescent="0.35">
      <c r="C484" s="1" t="s">
        <v>310</v>
      </c>
      <c r="D484" s="3">
        <v>55836</v>
      </c>
    </row>
    <row r="485" spans="3:4" ht="14.25" customHeight="1" x14ac:dyDescent="0.35">
      <c r="C485" s="1" t="s">
        <v>683</v>
      </c>
      <c r="D485" s="3">
        <v>79189</v>
      </c>
    </row>
    <row r="486" spans="3:4" ht="14.25" customHeight="1" x14ac:dyDescent="0.35">
      <c r="C486" s="1" t="s">
        <v>227</v>
      </c>
      <c r="D486" s="3">
        <v>84357</v>
      </c>
    </row>
    <row r="487" spans="3:4" ht="14.25" customHeight="1" x14ac:dyDescent="0.35">
      <c r="C487" s="1" t="s">
        <v>317</v>
      </c>
      <c r="D487" s="3">
        <v>72293</v>
      </c>
    </row>
    <row r="488" spans="3:4" ht="14.25" customHeight="1" x14ac:dyDescent="0.35">
      <c r="C488" s="1" t="s">
        <v>425</v>
      </c>
      <c r="D488" s="3">
        <v>52256</v>
      </c>
    </row>
    <row r="489" spans="3:4" ht="14.25" customHeight="1" x14ac:dyDescent="0.35">
      <c r="C489" s="1" t="s">
        <v>140</v>
      </c>
      <c r="D489" s="3">
        <v>44520</v>
      </c>
    </row>
    <row r="490" spans="3:4" ht="14.25" customHeight="1" x14ac:dyDescent="0.35">
      <c r="C490" s="1" t="s">
        <v>620</v>
      </c>
      <c r="D490" s="3">
        <v>101184</v>
      </c>
    </row>
    <row r="491" spans="3:4" ht="14.25" customHeight="1" x14ac:dyDescent="0.35">
      <c r="C491" s="1" t="s">
        <v>583</v>
      </c>
      <c r="D491" s="3">
        <v>55809</v>
      </c>
    </row>
    <row r="492" spans="3:4" ht="14.25" customHeight="1" x14ac:dyDescent="0.35">
      <c r="C492" s="1" t="s">
        <v>723</v>
      </c>
      <c r="D492" s="3">
        <v>45544</v>
      </c>
    </row>
    <row r="493" spans="3:4" ht="14.25" customHeight="1" x14ac:dyDescent="0.35">
      <c r="C493" s="1" t="s">
        <v>646</v>
      </c>
      <c r="D493" s="3">
        <v>49537</v>
      </c>
    </row>
    <row r="494" spans="3:4" ht="14.25" customHeight="1" x14ac:dyDescent="0.35">
      <c r="C494" s="1" t="s">
        <v>526</v>
      </c>
      <c r="D494" s="3">
        <v>22661</v>
      </c>
    </row>
    <row r="495" spans="3:4" ht="14.25" customHeight="1" x14ac:dyDescent="0.35">
      <c r="C495" s="1" t="s">
        <v>634</v>
      </c>
      <c r="D495" s="3">
        <v>132297</v>
      </c>
    </row>
    <row r="496" spans="3:4" ht="14.25" customHeight="1" x14ac:dyDescent="0.35">
      <c r="C496" s="1" t="s">
        <v>412</v>
      </c>
      <c r="D496" s="3">
        <v>62060</v>
      </c>
    </row>
    <row r="497" spans="3:4" ht="14.25" customHeight="1" x14ac:dyDescent="0.35">
      <c r="C497" s="1" t="s">
        <v>730</v>
      </c>
      <c r="D497" s="3">
        <v>155684</v>
      </c>
    </row>
    <row r="498" spans="3:4" ht="14.25" customHeight="1" x14ac:dyDescent="0.35">
      <c r="C498" s="1" t="s">
        <v>619</v>
      </c>
      <c r="D498" s="3">
        <v>113794</v>
      </c>
    </row>
    <row r="499" spans="3:4" ht="14.25" customHeight="1" x14ac:dyDescent="0.35">
      <c r="C499" s="1" t="s">
        <v>557</v>
      </c>
      <c r="D499" s="3">
        <v>125796</v>
      </c>
    </row>
    <row r="500" spans="3:4" ht="14.25" customHeight="1" x14ac:dyDescent="0.35">
      <c r="C500" s="1" t="s">
        <v>467</v>
      </c>
      <c r="D500" s="3">
        <v>8697</v>
      </c>
    </row>
    <row r="501" spans="3:4" ht="14.25" customHeight="1" x14ac:dyDescent="0.35">
      <c r="C501" s="1" t="s">
        <v>429</v>
      </c>
      <c r="D501" s="3">
        <v>36769</v>
      </c>
    </row>
    <row r="502" spans="3:4" ht="14.25" customHeight="1" x14ac:dyDescent="0.35">
      <c r="C502" s="1" t="s">
        <v>670</v>
      </c>
      <c r="D502" s="3">
        <v>77183</v>
      </c>
    </row>
    <row r="503" spans="3:4" ht="14.25" customHeight="1" x14ac:dyDescent="0.35">
      <c r="C503" s="1" t="s">
        <v>454</v>
      </c>
      <c r="D503" s="3">
        <v>111982</v>
      </c>
    </row>
    <row r="504" spans="3:4" ht="14.25" customHeight="1" x14ac:dyDescent="0.35">
      <c r="C504" s="1" t="s">
        <v>796</v>
      </c>
      <c r="D504" s="3">
        <v>90688</v>
      </c>
    </row>
    <row r="505" spans="3:4" ht="14.25" customHeight="1" x14ac:dyDescent="0.35">
      <c r="C505" s="1" t="s">
        <v>561</v>
      </c>
      <c r="D505" s="3">
        <v>155666</v>
      </c>
    </row>
    <row r="506" spans="3:4" ht="14.25" customHeight="1" x14ac:dyDescent="0.35">
      <c r="C506" s="1" t="s">
        <v>662</v>
      </c>
      <c r="D506" s="3">
        <v>59908</v>
      </c>
    </row>
    <row r="507" spans="3:4" ht="14.25" customHeight="1" x14ac:dyDescent="0.35">
      <c r="C507" s="1" t="s">
        <v>434</v>
      </c>
      <c r="D507" s="3">
        <v>27986</v>
      </c>
    </row>
    <row r="508" spans="3:4" ht="14.25" customHeight="1" x14ac:dyDescent="0.35">
      <c r="C508" s="1" t="s">
        <v>719</v>
      </c>
      <c r="D508" s="3">
        <v>79030</v>
      </c>
    </row>
    <row r="509" spans="3:4" ht="14.25" customHeight="1" x14ac:dyDescent="0.35">
      <c r="C509" s="1" t="s">
        <v>213</v>
      </c>
      <c r="D509" s="3">
        <v>27648</v>
      </c>
    </row>
    <row r="510" spans="3:4" ht="14.25" customHeight="1" x14ac:dyDescent="0.35">
      <c r="C510" s="1" t="s">
        <v>322</v>
      </c>
      <c r="D510" s="3">
        <v>144574</v>
      </c>
    </row>
    <row r="511" spans="3:4" ht="14.25" customHeight="1" x14ac:dyDescent="0.35"/>
    <row r="512" spans="3:4"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3CDA3-7027-4957-8DE6-61A37699A41D}">
  <dimension ref="A3:B14"/>
  <sheetViews>
    <sheetView workbookViewId="0">
      <selection activeCell="B4" sqref="B4"/>
    </sheetView>
  </sheetViews>
  <sheetFormatPr defaultRowHeight="14.5" x14ac:dyDescent="0.35"/>
  <cols>
    <col min="1" max="1" width="22.7265625" bestFit="1" customWidth="1"/>
    <col min="2" max="2" width="15" bestFit="1" customWidth="1"/>
  </cols>
  <sheetData>
    <row r="3" spans="1:2" x14ac:dyDescent="0.35">
      <c r="A3" s="4" t="s">
        <v>843</v>
      </c>
      <c r="B3" t="s">
        <v>847</v>
      </c>
    </row>
    <row r="4" spans="1:2" x14ac:dyDescent="0.35">
      <c r="A4" s="5" t="s">
        <v>167</v>
      </c>
      <c r="B4" s="8">
        <v>1990613</v>
      </c>
    </row>
    <row r="5" spans="1:2" x14ac:dyDescent="0.35">
      <c r="A5" s="5" t="s">
        <v>31</v>
      </c>
      <c r="B5" s="8">
        <v>3845901</v>
      </c>
    </row>
    <row r="6" spans="1:2" x14ac:dyDescent="0.35">
      <c r="A6" s="5" t="s">
        <v>151</v>
      </c>
      <c r="B6" s="8">
        <v>3956363</v>
      </c>
    </row>
    <row r="7" spans="1:2" x14ac:dyDescent="0.35">
      <c r="A7" s="5" t="s">
        <v>24</v>
      </c>
      <c r="B7" s="8">
        <v>4022720</v>
      </c>
    </row>
    <row r="8" spans="1:2" x14ac:dyDescent="0.35">
      <c r="A8" s="5" t="s">
        <v>57</v>
      </c>
      <c r="B8" s="8">
        <v>4065231</v>
      </c>
    </row>
    <row r="9" spans="1:2" x14ac:dyDescent="0.35">
      <c r="A9" s="5" t="s">
        <v>37</v>
      </c>
      <c r="B9" s="8">
        <v>4554980</v>
      </c>
    </row>
    <row r="10" spans="1:2" x14ac:dyDescent="0.35">
      <c r="A10" s="5" t="s">
        <v>52</v>
      </c>
      <c r="B10" s="8">
        <v>4711588</v>
      </c>
    </row>
    <row r="11" spans="1:2" x14ac:dyDescent="0.35">
      <c r="A11" s="5" t="s">
        <v>16</v>
      </c>
      <c r="B11" s="8">
        <v>6082904</v>
      </c>
    </row>
    <row r="12" spans="1:2" x14ac:dyDescent="0.35">
      <c r="A12" s="5" t="s">
        <v>42</v>
      </c>
      <c r="B12" s="8">
        <v>7363964</v>
      </c>
    </row>
    <row r="13" spans="1:2" x14ac:dyDescent="0.35">
      <c r="A13" s="5" t="s">
        <v>66</v>
      </c>
      <c r="B13" s="8">
        <v>8908186</v>
      </c>
    </row>
    <row r="14" spans="1:2" x14ac:dyDescent="0.35">
      <c r="A14" s="5" t="s">
        <v>844</v>
      </c>
      <c r="B14" s="8">
        <v>49502450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274D6-2E1C-47C8-813B-2FD75D2A06E3}">
  <dimension ref="A1:N509"/>
  <sheetViews>
    <sheetView topLeftCell="D1" zoomScale="80" zoomScaleNormal="80" workbookViewId="0">
      <selection activeCell="N2" sqref="N2"/>
    </sheetView>
  </sheetViews>
  <sheetFormatPr defaultRowHeight="14.5" x14ac:dyDescent="0.35"/>
  <cols>
    <col min="1" max="1" width="10.453125" bestFit="1" customWidth="1"/>
    <col min="2" max="2" width="17" style="11" customWidth="1"/>
    <col min="3" max="3" width="17.6328125" bestFit="1" customWidth="1"/>
    <col min="4" max="4" width="23.90625" bestFit="1" customWidth="1"/>
    <col min="5" max="5" width="9.7265625" hidden="1" customWidth="1"/>
    <col min="6" max="6" width="14.54296875" customWidth="1"/>
    <col min="7" max="7" width="16.08984375" customWidth="1"/>
    <col min="8" max="8" width="15.7265625" customWidth="1"/>
    <col min="9" max="9" width="18.26953125" customWidth="1"/>
    <col min="10" max="10" width="22.7265625" customWidth="1"/>
    <col min="11" max="11" width="30.1796875" customWidth="1"/>
    <col min="12" max="12" width="23.81640625" customWidth="1"/>
    <col min="13" max="14" width="20.08984375" customWidth="1"/>
  </cols>
  <sheetData>
    <row r="1" spans="1:14" x14ac:dyDescent="0.35">
      <c r="A1" s="7" t="s">
        <v>849</v>
      </c>
      <c r="B1" s="9" t="s">
        <v>0</v>
      </c>
      <c r="C1" s="1" t="s">
        <v>1</v>
      </c>
      <c r="D1" s="7" t="s">
        <v>2</v>
      </c>
      <c r="E1" s="7" t="s">
        <v>866</v>
      </c>
      <c r="F1" s="1" t="s">
        <v>3</v>
      </c>
      <c r="G1" s="1" t="s">
        <v>4</v>
      </c>
      <c r="H1" s="1" t="s">
        <v>5</v>
      </c>
      <c r="I1" s="1" t="s">
        <v>6</v>
      </c>
      <c r="J1" s="1" t="s">
        <v>7</v>
      </c>
      <c r="K1" s="7" t="s">
        <v>846</v>
      </c>
      <c r="L1" s="1" t="s">
        <v>8</v>
      </c>
      <c r="M1" s="1" t="s">
        <v>9</v>
      </c>
      <c r="N1" s="1" t="s">
        <v>799</v>
      </c>
    </row>
    <row r="2" spans="1:14" x14ac:dyDescent="0.35">
      <c r="A2" s="6" t="str">
        <f>TEXT(Table1[[#This Row],[DATE]],"MMMM")</f>
        <v>January</v>
      </c>
      <c r="B2" s="10">
        <v>44562</v>
      </c>
      <c r="C2" s="1" t="s">
        <v>10</v>
      </c>
      <c r="D2" s="1" t="str">
        <f>UPPER(Table1[[#This Row],[NAME2]])</f>
        <v>URSULA MADDOX</v>
      </c>
      <c r="E2" s="1" t="s">
        <v>11</v>
      </c>
      <c r="F2" s="1" t="s">
        <v>12</v>
      </c>
      <c r="G2" s="1" t="s">
        <v>13</v>
      </c>
      <c r="H2" s="1" t="s">
        <v>14</v>
      </c>
      <c r="I2" s="1" t="s">
        <v>15</v>
      </c>
      <c r="J2" s="9">
        <v>41</v>
      </c>
      <c r="K2" s="1" t="str">
        <f>IF(Table1[[#This Row],[AGE]]&lt;=18,"CHILD",IF(Table1[[#This Row],[AGE]]&lt;=20,"TEEN",IF(Table1[[#This Row],[AGE]]&lt;=40,"ADULT",IF(Table1[[#This Row],[AGE]]&lt;=60,"SENIOR CITIZEN","OLD CITIZEN"))))</f>
        <v>SENIOR CITIZEN</v>
      </c>
      <c r="L2" s="1" t="s">
        <v>16</v>
      </c>
      <c r="M2" s="1" t="s">
        <v>17</v>
      </c>
      <c r="N2" s="13">
        <f>VLOOKUP(Table1[[#This Row],[TRANSACTION ID]],'Transaction ID Record'!$C$3:$D$510,2,FALSE)</f>
        <v>155937</v>
      </c>
    </row>
    <row r="3" spans="1:14" x14ac:dyDescent="0.35">
      <c r="A3" s="6" t="str">
        <f>TEXT(Table1[[#This Row],[DATE]],"MMMM")</f>
        <v>January</v>
      </c>
      <c r="B3" s="10">
        <v>44562</v>
      </c>
      <c r="C3" s="1" t="s">
        <v>18</v>
      </c>
      <c r="D3" s="1" t="str">
        <f>UPPER(Table1[[#This Row],[NAME2]])</f>
        <v>RHONA MITCHELL</v>
      </c>
      <c r="E3" s="1" t="s">
        <v>19</v>
      </c>
      <c r="F3" s="1" t="s">
        <v>20</v>
      </c>
      <c r="G3" s="1" t="s">
        <v>21</v>
      </c>
      <c r="H3" s="1" t="s">
        <v>22</v>
      </c>
      <c r="I3" s="1" t="s">
        <v>23</v>
      </c>
      <c r="J3" s="9">
        <v>72</v>
      </c>
      <c r="K3" s="1" t="str">
        <f>IF(Table1[[#This Row],[AGE]]&lt;=18,"CHILD",IF(Table1[[#This Row],[AGE]]&lt;=20,"TEEN",IF(Table1[[#This Row],[AGE]]&lt;=40,"ADULT",IF(Table1[[#This Row],[AGE]]&lt;=60,"SENIOR CITIZEN","OLD CITIZEN"))))</f>
        <v>OLD CITIZEN</v>
      </c>
      <c r="L3" s="1" t="s">
        <v>24</v>
      </c>
      <c r="M3" s="1" t="s">
        <v>25</v>
      </c>
      <c r="N3" s="13">
        <f>VLOOKUP(Table1[[#This Row],[TRANSACTION ID]],'Transaction ID Record'!$C$3:$D$510,2,FALSE)</f>
        <v>128189</v>
      </c>
    </row>
    <row r="4" spans="1:14" x14ac:dyDescent="0.35">
      <c r="A4" s="6" t="str">
        <f>TEXT(Table1[[#This Row],[DATE]],"MMMM")</f>
        <v>January</v>
      </c>
      <c r="B4" s="10">
        <v>44564</v>
      </c>
      <c r="C4" s="1" t="s">
        <v>26</v>
      </c>
      <c r="D4" s="1" t="str">
        <f>UPPER(Table1[[#This Row],[NAME2]])</f>
        <v>OLUDOYE WEBER</v>
      </c>
      <c r="E4" s="1" t="s">
        <v>27</v>
      </c>
      <c r="F4" s="1" t="s">
        <v>28</v>
      </c>
      <c r="G4" s="1" t="s">
        <v>21</v>
      </c>
      <c r="H4" s="1" t="s">
        <v>29</v>
      </c>
      <c r="I4" s="1" t="s">
        <v>30</v>
      </c>
      <c r="J4" s="9">
        <v>59</v>
      </c>
      <c r="K4" s="1" t="str">
        <f>IF(Table1[[#This Row],[AGE]]&lt;=18,"CHILD",IF(Table1[[#This Row],[AGE]]&lt;=20,"TEEN",IF(Table1[[#This Row],[AGE]]&lt;=40,"ADULT",IF(Table1[[#This Row],[AGE]]&lt;=60,"SENIOR CITIZEN","OLD CITIZEN"))))</f>
        <v>SENIOR CITIZEN</v>
      </c>
      <c r="L4" s="1" t="s">
        <v>31</v>
      </c>
      <c r="M4" s="1" t="s">
        <v>32</v>
      </c>
      <c r="N4" s="13">
        <f>VLOOKUP(Table1[[#This Row],[TRANSACTION ID]],'Transaction ID Record'!$C$3:$D$510,2,FALSE)</f>
        <v>155128</v>
      </c>
    </row>
    <row r="5" spans="1:14" x14ac:dyDescent="0.35">
      <c r="A5" s="6" t="str">
        <f>TEXT(Table1[[#This Row],[DATE]],"MMMM")</f>
        <v>January</v>
      </c>
      <c r="B5" s="10">
        <v>44564</v>
      </c>
      <c r="C5" s="1" t="s">
        <v>33</v>
      </c>
      <c r="D5" s="1" t="str">
        <f>UPPER(Table1[[#This Row],[NAME2]])</f>
        <v>BAMIDELE ALEXANDER</v>
      </c>
      <c r="E5" s="1" t="s">
        <v>34</v>
      </c>
      <c r="F5" s="1" t="s">
        <v>35</v>
      </c>
      <c r="G5" s="1" t="s">
        <v>13</v>
      </c>
      <c r="H5" s="1" t="s">
        <v>36</v>
      </c>
      <c r="I5" s="1" t="s">
        <v>23</v>
      </c>
      <c r="J5" s="9">
        <v>61</v>
      </c>
      <c r="K5" s="1" t="str">
        <f>IF(Table1[[#This Row],[AGE]]&lt;=18,"CHILD",IF(Table1[[#This Row],[AGE]]&lt;=20,"TEEN",IF(Table1[[#This Row],[AGE]]&lt;=40,"ADULT",IF(Table1[[#This Row],[AGE]]&lt;=60,"SENIOR CITIZEN","OLD CITIZEN"))))</f>
        <v>OLD CITIZEN</v>
      </c>
      <c r="L5" s="1" t="s">
        <v>37</v>
      </c>
      <c r="M5" s="1" t="s">
        <v>17</v>
      </c>
      <c r="N5" s="13">
        <f>VLOOKUP(Table1[[#This Row],[TRANSACTION ID]],'Transaction ID Record'!$C$3:$D$510,2,FALSE)</f>
        <v>153624</v>
      </c>
    </row>
    <row r="6" spans="1:14" x14ac:dyDescent="0.35">
      <c r="A6" s="6" t="str">
        <f>TEXT(Table1[[#This Row],[DATE]],"MMMM")</f>
        <v>January</v>
      </c>
      <c r="B6" s="10">
        <v>44564</v>
      </c>
      <c r="C6" s="1" t="s">
        <v>38</v>
      </c>
      <c r="D6" s="1" t="str">
        <f>UPPER(Table1[[#This Row],[NAME2]])</f>
        <v>URIEL ADAMS</v>
      </c>
      <c r="E6" s="1" t="s">
        <v>39</v>
      </c>
      <c r="F6" s="1" t="s">
        <v>40</v>
      </c>
      <c r="G6" s="1" t="s">
        <v>21</v>
      </c>
      <c r="H6" s="1" t="s">
        <v>41</v>
      </c>
      <c r="I6" s="1" t="s">
        <v>15</v>
      </c>
      <c r="J6" s="9">
        <v>48</v>
      </c>
      <c r="K6" s="1" t="str">
        <f>IF(Table1[[#This Row],[AGE]]&lt;=18,"CHILD",IF(Table1[[#This Row],[AGE]]&lt;=20,"TEEN",IF(Table1[[#This Row],[AGE]]&lt;=40,"ADULT",IF(Table1[[#This Row],[AGE]]&lt;=60,"SENIOR CITIZEN","OLD CITIZEN"))))</f>
        <v>SENIOR CITIZEN</v>
      </c>
      <c r="L6" s="1" t="s">
        <v>42</v>
      </c>
      <c r="M6" s="1" t="s">
        <v>17</v>
      </c>
      <c r="N6" s="13">
        <f>VLOOKUP(Table1[[#This Row],[TRANSACTION ID]],'Transaction ID Record'!$C$3:$D$510,2,FALSE)</f>
        <v>41949</v>
      </c>
    </row>
    <row r="7" spans="1:14" x14ac:dyDescent="0.35">
      <c r="A7" s="6" t="str">
        <f>TEXT(Table1[[#This Row],[DATE]],"MMMM")</f>
        <v>January</v>
      </c>
      <c r="B7" s="10">
        <v>44564</v>
      </c>
      <c r="C7" s="1" t="s">
        <v>43</v>
      </c>
      <c r="D7" s="1" t="str">
        <f>UPPER(Table1[[#This Row],[NAME2]])</f>
        <v>OLAOGUN GILBERT</v>
      </c>
      <c r="E7" s="1" t="s">
        <v>44</v>
      </c>
      <c r="F7" s="1" t="s">
        <v>45</v>
      </c>
      <c r="G7" s="1" t="s">
        <v>13</v>
      </c>
      <c r="H7" s="1" t="s">
        <v>46</v>
      </c>
      <c r="I7" s="1" t="s">
        <v>15</v>
      </c>
      <c r="J7" s="9">
        <v>22</v>
      </c>
      <c r="K7" s="1" t="str">
        <f>IF(Table1[[#This Row],[AGE]]&lt;=18,"CHILD",IF(Table1[[#This Row],[AGE]]&lt;=20,"TEEN",IF(Table1[[#This Row],[AGE]]&lt;=40,"ADULT",IF(Table1[[#This Row],[AGE]]&lt;=60,"SENIOR CITIZEN","OLD CITIZEN"))))</f>
        <v>ADULT</v>
      </c>
      <c r="L7" s="1" t="s">
        <v>42</v>
      </c>
      <c r="M7" s="1" t="s">
        <v>47</v>
      </c>
      <c r="N7" s="13">
        <f>VLOOKUP(Table1[[#This Row],[TRANSACTION ID]],'Transaction ID Record'!$C$3:$D$510,2,FALSE)</f>
        <v>36016</v>
      </c>
    </row>
    <row r="8" spans="1:14" x14ac:dyDescent="0.35">
      <c r="A8" s="6" t="str">
        <f>TEXT(Table1[[#This Row],[DATE]],"MMMM")</f>
        <v>January</v>
      </c>
      <c r="B8" s="10">
        <v>44565</v>
      </c>
      <c r="C8" s="1" t="s">
        <v>48</v>
      </c>
      <c r="D8" s="1" t="str">
        <f>UPPER(Table1[[#This Row],[NAME2]])</f>
        <v>FASINU GUZZO</v>
      </c>
      <c r="E8" s="1" t="s">
        <v>49</v>
      </c>
      <c r="F8" s="1" t="s">
        <v>50</v>
      </c>
      <c r="G8" s="1" t="s">
        <v>13</v>
      </c>
      <c r="H8" s="1" t="s">
        <v>51</v>
      </c>
      <c r="I8" s="1" t="s">
        <v>15</v>
      </c>
      <c r="J8" s="9">
        <v>61</v>
      </c>
      <c r="K8" s="1" t="str">
        <f>IF(Table1[[#This Row],[AGE]]&lt;=18,"CHILD",IF(Table1[[#This Row],[AGE]]&lt;=20,"TEEN",IF(Table1[[#This Row],[AGE]]&lt;=40,"ADULT",IF(Table1[[#This Row],[AGE]]&lt;=60,"SENIOR CITIZEN","OLD CITIZEN"))))</f>
        <v>OLD CITIZEN</v>
      </c>
      <c r="L8" s="1" t="s">
        <v>52</v>
      </c>
      <c r="M8" s="1" t="s">
        <v>17</v>
      </c>
      <c r="N8" s="13">
        <f>VLOOKUP(Table1[[#This Row],[TRANSACTION ID]],'Transaction ID Record'!$C$3:$D$510,2,FALSE)</f>
        <v>72549</v>
      </c>
    </row>
    <row r="9" spans="1:14" x14ac:dyDescent="0.35">
      <c r="A9" s="6" t="str">
        <f>TEXT(Table1[[#This Row],[DATE]],"MMMM")</f>
        <v>January</v>
      </c>
      <c r="B9" s="10">
        <v>44566</v>
      </c>
      <c r="C9" s="1" t="s">
        <v>53</v>
      </c>
      <c r="D9" s="1" t="str">
        <f>UPPER(Table1[[#This Row],[NAME2]])</f>
        <v>BRITTANY BEST</v>
      </c>
      <c r="E9" s="1" t="s">
        <v>54</v>
      </c>
      <c r="F9" s="1" t="s">
        <v>55</v>
      </c>
      <c r="G9" s="1" t="s">
        <v>21</v>
      </c>
      <c r="H9" s="1" t="s">
        <v>56</v>
      </c>
      <c r="I9" s="1" t="s">
        <v>23</v>
      </c>
      <c r="J9" s="9">
        <v>28</v>
      </c>
      <c r="K9" s="1" t="str">
        <f>IF(Table1[[#This Row],[AGE]]&lt;=18,"CHILD",IF(Table1[[#This Row],[AGE]]&lt;=20,"TEEN",IF(Table1[[#This Row],[AGE]]&lt;=40,"ADULT",IF(Table1[[#This Row],[AGE]]&lt;=60,"SENIOR CITIZEN","OLD CITIZEN"))))</f>
        <v>ADULT</v>
      </c>
      <c r="L9" s="1" t="s">
        <v>57</v>
      </c>
      <c r="M9" s="1" t="s">
        <v>47</v>
      </c>
      <c r="N9" s="13">
        <f>VLOOKUP(Table1[[#This Row],[TRANSACTION ID]],'Transaction ID Record'!$C$3:$D$510,2,FALSE)</f>
        <v>47186</v>
      </c>
    </row>
    <row r="10" spans="1:14" x14ac:dyDescent="0.35">
      <c r="A10" s="6" t="str">
        <f>TEXT(Table1[[#This Row],[DATE]],"MMMM")</f>
        <v>January</v>
      </c>
      <c r="B10" s="10">
        <v>44567</v>
      </c>
      <c r="C10" s="1" t="s">
        <v>58</v>
      </c>
      <c r="D10" s="1" t="str">
        <f>UPPER(Table1[[#This Row],[NAME2]])</f>
        <v>ODUMOSU DUKE</v>
      </c>
      <c r="E10" s="1" t="s">
        <v>59</v>
      </c>
      <c r="F10" s="1" t="s">
        <v>800</v>
      </c>
      <c r="G10" s="1" t="s">
        <v>13</v>
      </c>
      <c r="H10" s="1" t="s">
        <v>60</v>
      </c>
      <c r="I10" s="1" t="s">
        <v>15</v>
      </c>
      <c r="J10" s="9">
        <v>48</v>
      </c>
      <c r="K10" s="1" t="str">
        <f>IF(Table1[[#This Row],[AGE]]&lt;=18,"CHILD",IF(Table1[[#This Row],[AGE]]&lt;=20,"TEEN",IF(Table1[[#This Row],[AGE]]&lt;=40,"ADULT",IF(Table1[[#This Row],[AGE]]&lt;=60,"SENIOR CITIZEN","OLD CITIZEN"))))</f>
        <v>SENIOR CITIZEN</v>
      </c>
      <c r="L10" s="1" t="s">
        <v>16</v>
      </c>
      <c r="M10" s="1" t="s">
        <v>61</v>
      </c>
      <c r="N10" s="13">
        <f>VLOOKUP(Table1[[#This Row],[TRANSACTION ID]],'Transaction ID Record'!$C$3:$D$510,2,FALSE)</f>
        <v>68759</v>
      </c>
    </row>
    <row r="11" spans="1:14" x14ac:dyDescent="0.35">
      <c r="A11" s="6" t="str">
        <f>TEXT(Table1[[#This Row],[DATE]],"MMMM")</f>
        <v>January</v>
      </c>
      <c r="B11" s="10">
        <v>44567</v>
      </c>
      <c r="C11" s="1" t="s">
        <v>62</v>
      </c>
      <c r="D11" s="1" t="str">
        <f>UPPER(Table1[[#This Row],[NAME2]])</f>
        <v>ODUMOSU MCCLURE</v>
      </c>
      <c r="E11" s="1" t="s">
        <v>63</v>
      </c>
      <c r="F11" s="1" t="s">
        <v>64</v>
      </c>
      <c r="G11" s="1" t="s">
        <v>13</v>
      </c>
      <c r="H11" s="1" t="s">
        <v>65</v>
      </c>
      <c r="I11" s="1" t="s">
        <v>15</v>
      </c>
      <c r="J11" s="9">
        <v>60</v>
      </c>
      <c r="K11" s="1" t="str">
        <f>IF(Table1[[#This Row],[AGE]]&lt;=18,"CHILD",IF(Table1[[#This Row],[AGE]]&lt;=20,"TEEN",IF(Table1[[#This Row],[AGE]]&lt;=40,"ADULT",IF(Table1[[#This Row],[AGE]]&lt;=60,"SENIOR CITIZEN","OLD CITIZEN"))))</f>
        <v>SENIOR CITIZEN</v>
      </c>
      <c r="L11" s="1" t="s">
        <v>66</v>
      </c>
      <c r="M11" s="1" t="s">
        <v>32</v>
      </c>
      <c r="N11" s="13">
        <f>VLOOKUP(Table1[[#This Row],[TRANSACTION ID]],'Transaction ID Record'!$C$3:$D$510,2,FALSE)</f>
        <v>30461</v>
      </c>
    </row>
    <row r="12" spans="1:14" x14ac:dyDescent="0.35">
      <c r="A12" s="6" t="str">
        <f>TEXT(Table1[[#This Row],[DATE]],"MMMM")</f>
        <v>January</v>
      </c>
      <c r="B12" s="10">
        <v>44567</v>
      </c>
      <c r="C12" s="1" t="s">
        <v>67</v>
      </c>
      <c r="D12" s="1" t="str">
        <f>UPPER(Table1[[#This Row],[NAME2]])</f>
        <v>BELL JUAREZ</v>
      </c>
      <c r="E12" s="1" t="s">
        <v>68</v>
      </c>
      <c r="F12" s="1" t="s">
        <v>801</v>
      </c>
      <c r="G12" s="1" t="s">
        <v>13</v>
      </c>
      <c r="H12" s="1" t="s">
        <v>69</v>
      </c>
      <c r="I12" s="1" t="s">
        <v>30</v>
      </c>
      <c r="J12" s="9">
        <v>71</v>
      </c>
      <c r="K12" s="1" t="str">
        <f>IF(Table1[[#This Row],[AGE]]&lt;=18,"CHILD",IF(Table1[[#This Row],[AGE]]&lt;=20,"TEEN",IF(Table1[[#This Row],[AGE]]&lt;=40,"ADULT",IF(Table1[[#This Row],[AGE]]&lt;=60,"SENIOR CITIZEN","OLD CITIZEN"))))</f>
        <v>OLD CITIZEN</v>
      </c>
      <c r="L12" s="1" t="s">
        <v>66</v>
      </c>
      <c r="M12" s="1" t="s">
        <v>32</v>
      </c>
      <c r="N12" s="13">
        <f>VLOOKUP(Table1[[#This Row],[TRANSACTION ID]],'Transaction ID Record'!$C$3:$D$510,2,FALSE)</f>
        <v>35165</v>
      </c>
    </row>
    <row r="13" spans="1:14" x14ac:dyDescent="0.35">
      <c r="A13" s="6" t="str">
        <f>TEXT(Table1[[#This Row],[DATE]],"MMMM")</f>
        <v>January</v>
      </c>
      <c r="B13" s="10">
        <v>44568</v>
      </c>
      <c r="C13" s="1" t="s">
        <v>70</v>
      </c>
      <c r="D13" s="1" t="str">
        <f>UPPER(Table1[[#This Row],[NAME2]])</f>
        <v>IVORY SELHORST</v>
      </c>
      <c r="E13" s="1" t="s">
        <v>71</v>
      </c>
      <c r="F13" s="1" t="s">
        <v>802</v>
      </c>
      <c r="G13" s="1" t="s">
        <v>21</v>
      </c>
      <c r="H13" s="1" t="s">
        <v>72</v>
      </c>
      <c r="I13" s="1" t="s">
        <v>23</v>
      </c>
      <c r="J13" s="9">
        <v>54</v>
      </c>
      <c r="K13" s="1" t="str">
        <f>IF(Table1[[#This Row],[AGE]]&lt;=18,"CHILD",IF(Table1[[#This Row],[AGE]]&lt;=20,"TEEN",IF(Table1[[#This Row],[AGE]]&lt;=40,"ADULT",IF(Table1[[#This Row],[AGE]]&lt;=60,"SENIOR CITIZEN","OLD CITIZEN"))))</f>
        <v>SENIOR CITIZEN</v>
      </c>
      <c r="L13" s="1" t="s">
        <v>66</v>
      </c>
      <c r="M13" s="1" t="s">
        <v>25</v>
      </c>
      <c r="N13" s="13">
        <f>VLOOKUP(Table1[[#This Row],[TRANSACTION ID]],'Transaction ID Record'!$C$3:$D$510,2,FALSE)</f>
        <v>156507</v>
      </c>
    </row>
    <row r="14" spans="1:14" x14ac:dyDescent="0.35">
      <c r="A14" s="6" t="str">
        <f>TEXT(Table1[[#This Row],[DATE]],"MMMM")</f>
        <v>January</v>
      </c>
      <c r="B14" s="10">
        <v>44569</v>
      </c>
      <c r="C14" s="1" t="s">
        <v>73</v>
      </c>
      <c r="D14" s="1" t="str">
        <f>UPPER(Table1[[#This Row],[NAME2]])</f>
        <v>BELL JUAREZ</v>
      </c>
      <c r="E14" s="1" t="s">
        <v>68</v>
      </c>
      <c r="F14" s="1" t="s">
        <v>801</v>
      </c>
      <c r="G14" s="1" t="s">
        <v>13</v>
      </c>
      <c r="H14" s="1" t="s">
        <v>69</v>
      </c>
      <c r="I14" s="1" t="s">
        <v>30</v>
      </c>
      <c r="J14" s="9">
        <v>71</v>
      </c>
      <c r="K14" s="1" t="str">
        <f>IF(Table1[[#This Row],[AGE]]&lt;=18,"CHILD",IF(Table1[[#This Row],[AGE]]&lt;=20,"TEEN",IF(Table1[[#This Row],[AGE]]&lt;=40,"ADULT",IF(Table1[[#This Row],[AGE]]&lt;=60,"SENIOR CITIZEN","OLD CITIZEN"))))</f>
        <v>OLD CITIZEN</v>
      </c>
      <c r="L14" s="1" t="s">
        <v>57</v>
      </c>
      <c r="M14" s="1" t="s">
        <v>17</v>
      </c>
      <c r="N14" s="13">
        <f>VLOOKUP(Table1[[#This Row],[TRANSACTION ID]],'Transaction ID Record'!$C$3:$D$510,2,FALSE)</f>
        <v>155786</v>
      </c>
    </row>
    <row r="15" spans="1:14" x14ac:dyDescent="0.35">
      <c r="A15" s="6" t="str">
        <f>TEXT(Table1[[#This Row],[DATE]],"MMMM")</f>
        <v>January</v>
      </c>
      <c r="B15" s="10">
        <v>44570</v>
      </c>
      <c r="C15" s="1" t="s">
        <v>74</v>
      </c>
      <c r="D15" s="1" t="str">
        <f>UPPER(Table1[[#This Row],[NAME2]])</f>
        <v>EMERSON PANOVSKY</v>
      </c>
      <c r="E15" s="1" t="s">
        <v>75</v>
      </c>
      <c r="F15" s="1" t="s">
        <v>76</v>
      </c>
      <c r="G15" s="1" t="s">
        <v>21</v>
      </c>
      <c r="H15" s="1" t="s">
        <v>77</v>
      </c>
      <c r="I15" s="1" t="s">
        <v>30</v>
      </c>
      <c r="J15" s="9">
        <v>19</v>
      </c>
      <c r="K15" s="1" t="str">
        <f>IF(Table1[[#This Row],[AGE]]&lt;=18,"CHILD",IF(Table1[[#This Row],[AGE]]&lt;=20,"TEEN",IF(Table1[[#This Row],[AGE]]&lt;=40,"ADULT",IF(Table1[[#This Row],[AGE]]&lt;=60,"SENIOR CITIZEN","OLD CITIZEN"))))</f>
        <v>TEEN</v>
      </c>
      <c r="L15" s="1" t="s">
        <v>31</v>
      </c>
      <c r="M15" s="1" t="s">
        <v>47</v>
      </c>
      <c r="N15" s="13">
        <f>VLOOKUP(Table1[[#This Row],[TRANSACTION ID]],'Transaction ID Record'!$C$3:$D$510,2,FALSE)</f>
        <v>77927</v>
      </c>
    </row>
    <row r="16" spans="1:14" x14ac:dyDescent="0.35">
      <c r="A16" s="6" t="str">
        <f>TEXT(Table1[[#This Row],[DATE]],"MMMM")</f>
        <v>January</v>
      </c>
      <c r="B16" s="10">
        <v>44570</v>
      </c>
      <c r="C16" s="1" t="s">
        <v>78</v>
      </c>
      <c r="D16" s="1" t="str">
        <f>UPPER(Table1[[#This Row],[NAME2]])</f>
        <v>TEMILADE KNAPP</v>
      </c>
      <c r="E16" s="1" t="s">
        <v>79</v>
      </c>
      <c r="F16" s="1" t="s">
        <v>80</v>
      </c>
      <c r="G16" s="1" t="s">
        <v>21</v>
      </c>
      <c r="H16" s="1" t="s">
        <v>81</v>
      </c>
      <c r="I16" s="1" t="s">
        <v>23</v>
      </c>
      <c r="J16" s="9">
        <v>61</v>
      </c>
      <c r="K16" s="1" t="str">
        <f>IF(Table1[[#This Row],[AGE]]&lt;=18,"CHILD",IF(Table1[[#This Row],[AGE]]&lt;=20,"TEEN",IF(Table1[[#This Row],[AGE]]&lt;=40,"ADULT",IF(Table1[[#This Row],[AGE]]&lt;=60,"SENIOR CITIZEN","OLD CITIZEN"))))</f>
        <v>OLD CITIZEN</v>
      </c>
      <c r="L16" s="1" t="s">
        <v>37</v>
      </c>
      <c r="M16" s="1" t="s">
        <v>17</v>
      </c>
      <c r="N16" s="13">
        <f>VLOOKUP(Table1[[#This Row],[TRANSACTION ID]],'Transaction ID Record'!$C$3:$D$510,2,FALSE)</f>
        <v>125612</v>
      </c>
    </row>
    <row r="17" spans="1:14" x14ac:dyDescent="0.35">
      <c r="A17" s="6" t="str">
        <f>TEXT(Table1[[#This Row],[DATE]],"MMMM")</f>
        <v>January</v>
      </c>
      <c r="B17" s="10">
        <v>44572</v>
      </c>
      <c r="C17" s="1" t="s">
        <v>82</v>
      </c>
      <c r="D17" s="1" t="str">
        <f>UPPER(Table1[[#This Row],[NAME2]])</f>
        <v>DEACON COBB</v>
      </c>
      <c r="E17" s="1" t="s">
        <v>83</v>
      </c>
      <c r="F17" s="1" t="s">
        <v>803</v>
      </c>
      <c r="G17" s="1" t="s">
        <v>13</v>
      </c>
      <c r="H17" s="1" t="s">
        <v>84</v>
      </c>
      <c r="I17" s="1" t="s">
        <v>30</v>
      </c>
      <c r="J17" s="9">
        <v>30</v>
      </c>
      <c r="K17" s="1" t="str">
        <f>IF(Table1[[#This Row],[AGE]]&lt;=18,"CHILD",IF(Table1[[#This Row],[AGE]]&lt;=20,"TEEN",IF(Table1[[#This Row],[AGE]]&lt;=40,"ADULT",IF(Table1[[#This Row],[AGE]]&lt;=60,"SENIOR CITIZEN","OLD CITIZEN"))))</f>
        <v>ADULT</v>
      </c>
      <c r="L17" s="1" t="s">
        <v>66</v>
      </c>
      <c r="M17" s="1" t="s">
        <v>17</v>
      </c>
      <c r="N17" s="13">
        <f>VLOOKUP(Table1[[#This Row],[TRANSACTION ID]],'Transaction ID Record'!$C$3:$D$510,2,FALSE)</f>
        <v>45602</v>
      </c>
    </row>
    <row r="18" spans="1:14" x14ac:dyDescent="0.35">
      <c r="A18" s="6" t="str">
        <f>TEXT(Table1[[#This Row],[DATE]],"MMMM")</f>
        <v>January</v>
      </c>
      <c r="B18" s="10">
        <v>44574</v>
      </c>
      <c r="C18" s="1" t="s">
        <v>85</v>
      </c>
      <c r="D18" s="1" t="str">
        <f>UPPER(Table1[[#This Row],[NAME2]])</f>
        <v>FASINU GUZZO</v>
      </c>
      <c r="E18" s="1" t="s">
        <v>49</v>
      </c>
      <c r="F18" s="1" t="s">
        <v>50</v>
      </c>
      <c r="G18" s="1" t="s">
        <v>13</v>
      </c>
      <c r="H18" s="1" t="s">
        <v>51</v>
      </c>
      <c r="I18" s="1" t="s">
        <v>15</v>
      </c>
      <c r="J18" s="9">
        <v>61</v>
      </c>
      <c r="K18" s="1" t="str">
        <f>IF(Table1[[#This Row],[AGE]]&lt;=18,"CHILD",IF(Table1[[#This Row],[AGE]]&lt;=20,"TEEN",IF(Table1[[#This Row],[AGE]]&lt;=40,"ADULT",IF(Table1[[#This Row],[AGE]]&lt;=60,"SENIOR CITIZEN","OLD CITIZEN"))))</f>
        <v>OLD CITIZEN</v>
      </c>
      <c r="L18" s="1" t="s">
        <v>52</v>
      </c>
      <c r="M18" s="1" t="s">
        <v>25</v>
      </c>
      <c r="N18" s="13">
        <f>VLOOKUP(Table1[[#This Row],[TRANSACTION ID]],'Transaction ID Record'!$C$3:$D$510,2,FALSE)</f>
        <v>132510</v>
      </c>
    </row>
    <row r="19" spans="1:14" x14ac:dyDescent="0.35">
      <c r="A19" s="6" t="str">
        <f>TEXT(Table1[[#This Row],[DATE]],"MMMM")</f>
        <v>January</v>
      </c>
      <c r="B19" s="10">
        <v>44575</v>
      </c>
      <c r="C19" s="1" t="s">
        <v>86</v>
      </c>
      <c r="D19" s="1" t="str">
        <f>UPPER(Table1[[#This Row],[NAME2]])</f>
        <v>BENEDICT MILLER</v>
      </c>
      <c r="E19" s="1" t="s">
        <v>87</v>
      </c>
      <c r="F19" s="1" t="s">
        <v>88</v>
      </c>
      <c r="G19" s="1" t="s">
        <v>13</v>
      </c>
      <c r="H19" s="1" t="s">
        <v>89</v>
      </c>
      <c r="I19" s="1" t="s">
        <v>23</v>
      </c>
      <c r="J19" s="9">
        <v>36</v>
      </c>
      <c r="K19" s="1" t="str">
        <f>IF(Table1[[#This Row],[AGE]]&lt;=18,"CHILD",IF(Table1[[#This Row],[AGE]]&lt;=20,"TEEN",IF(Table1[[#This Row],[AGE]]&lt;=40,"ADULT",IF(Table1[[#This Row],[AGE]]&lt;=60,"SENIOR CITIZEN","OLD CITIZEN"))))</f>
        <v>ADULT</v>
      </c>
      <c r="L19" s="1" t="s">
        <v>66</v>
      </c>
      <c r="M19" s="1" t="s">
        <v>17</v>
      </c>
      <c r="N19" s="13">
        <f>VLOOKUP(Table1[[#This Row],[TRANSACTION ID]],'Transaction ID Record'!$C$3:$D$510,2,FALSE)</f>
        <v>86372</v>
      </c>
    </row>
    <row r="20" spans="1:14" x14ac:dyDescent="0.35">
      <c r="A20" s="6" t="str">
        <f>TEXT(Table1[[#This Row],[DATE]],"MMMM")</f>
        <v>January</v>
      </c>
      <c r="B20" s="10">
        <v>44575</v>
      </c>
      <c r="C20" s="1" t="s">
        <v>90</v>
      </c>
      <c r="D20" s="1" t="str">
        <f>UPPER(Table1[[#This Row],[NAME2]])</f>
        <v>ODUMOSU DUKE</v>
      </c>
      <c r="E20" s="1" t="s">
        <v>59</v>
      </c>
      <c r="F20" s="1" t="s">
        <v>800</v>
      </c>
      <c r="G20" s="1" t="s">
        <v>13</v>
      </c>
      <c r="H20" s="1" t="s">
        <v>60</v>
      </c>
      <c r="I20" s="1" t="s">
        <v>15</v>
      </c>
      <c r="J20" s="9">
        <v>48</v>
      </c>
      <c r="K20" s="1" t="str">
        <f>IF(Table1[[#This Row],[AGE]]&lt;=18,"CHILD",IF(Table1[[#This Row],[AGE]]&lt;=20,"TEEN",IF(Table1[[#This Row],[AGE]]&lt;=40,"ADULT",IF(Table1[[#This Row],[AGE]]&lt;=60,"SENIOR CITIZEN","OLD CITIZEN"))))</f>
        <v>SENIOR CITIZEN</v>
      </c>
      <c r="L20" s="1" t="s">
        <v>24</v>
      </c>
      <c r="M20" s="1" t="s">
        <v>25</v>
      </c>
      <c r="N20" s="13">
        <f>VLOOKUP(Table1[[#This Row],[TRANSACTION ID]],'Transaction ID Record'!$C$3:$D$510,2,FALSE)</f>
        <v>118604</v>
      </c>
    </row>
    <row r="21" spans="1:14" x14ac:dyDescent="0.35">
      <c r="A21" s="6" t="str">
        <f>TEXT(Table1[[#This Row],[DATE]],"MMMM")</f>
        <v>January</v>
      </c>
      <c r="B21" s="10">
        <v>44576</v>
      </c>
      <c r="C21" s="1" t="s">
        <v>91</v>
      </c>
      <c r="D21" s="1" t="str">
        <f>UPPER(Table1[[#This Row],[NAME2]])</f>
        <v>LANI KEY</v>
      </c>
      <c r="E21" s="1" t="s">
        <v>92</v>
      </c>
      <c r="F21" s="1" t="s">
        <v>804</v>
      </c>
      <c r="G21" s="1" t="s">
        <v>21</v>
      </c>
      <c r="H21" s="1" t="s">
        <v>93</v>
      </c>
      <c r="I21" s="1" t="s">
        <v>23</v>
      </c>
      <c r="J21" s="9">
        <v>31</v>
      </c>
      <c r="K21" s="1" t="str">
        <f>IF(Table1[[#This Row],[AGE]]&lt;=18,"CHILD",IF(Table1[[#This Row],[AGE]]&lt;=20,"TEEN",IF(Table1[[#This Row],[AGE]]&lt;=40,"ADULT",IF(Table1[[#This Row],[AGE]]&lt;=60,"SENIOR CITIZEN","OLD CITIZEN"))))</f>
        <v>ADULT</v>
      </c>
      <c r="L21" s="1" t="s">
        <v>24</v>
      </c>
      <c r="M21" s="1" t="s">
        <v>47</v>
      </c>
      <c r="N21" s="13">
        <f>VLOOKUP(Table1[[#This Row],[TRANSACTION ID]],'Transaction ID Record'!$C$3:$D$510,2,FALSE)</f>
        <v>176495</v>
      </c>
    </row>
    <row r="22" spans="1:14" x14ac:dyDescent="0.35">
      <c r="A22" s="6" t="str">
        <f>TEXT(Table1[[#This Row],[DATE]],"MMMM")</f>
        <v>January</v>
      </c>
      <c r="B22" s="10">
        <v>44576</v>
      </c>
      <c r="C22" s="1" t="s">
        <v>94</v>
      </c>
      <c r="D22" s="1" t="str">
        <f>UPPER(Table1[[#This Row],[NAME2]])</f>
        <v>BAMIDELE ALEXANDER</v>
      </c>
      <c r="E22" s="1" t="s">
        <v>34</v>
      </c>
      <c r="F22" s="1" t="s">
        <v>35</v>
      </c>
      <c r="G22" s="1" t="s">
        <v>13</v>
      </c>
      <c r="H22" s="1" t="s">
        <v>36</v>
      </c>
      <c r="I22" s="1" t="s">
        <v>23</v>
      </c>
      <c r="J22" s="9">
        <v>61</v>
      </c>
      <c r="K22" s="1" t="str">
        <f>IF(Table1[[#This Row],[AGE]]&lt;=18,"CHILD",IF(Table1[[#This Row],[AGE]]&lt;=20,"TEEN",IF(Table1[[#This Row],[AGE]]&lt;=40,"ADULT",IF(Table1[[#This Row],[AGE]]&lt;=60,"SENIOR CITIZEN","OLD CITIZEN"))))</f>
        <v>OLD CITIZEN</v>
      </c>
      <c r="L22" s="1" t="s">
        <v>66</v>
      </c>
      <c r="M22" s="1" t="s">
        <v>17</v>
      </c>
      <c r="N22" s="13">
        <f>VLOOKUP(Table1[[#This Row],[TRANSACTION ID]],'Transaction ID Record'!$C$3:$D$510,2,FALSE)</f>
        <v>182297</v>
      </c>
    </row>
    <row r="23" spans="1:14" x14ac:dyDescent="0.35">
      <c r="A23" s="6" t="str">
        <f>TEXT(Table1[[#This Row],[DATE]],"MMMM")</f>
        <v>January</v>
      </c>
      <c r="B23" s="10">
        <v>44578</v>
      </c>
      <c r="C23" s="1" t="s">
        <v>95</v>
      </c>
      <c r="D23" s="1" t="str">
        <f>UPPER(Table1[[#This Row],[NAME2]])</f>
        <v>BELL JUAREZ</v>
      </c>
      <c r="E23" s="1" t="s">
        <v>68</v>
      </c>
      <c r="F23" s="1" t="s">
        <v>801</v>
      </c>
      <c r="G23" s="1" t="s">
        <v>13</v>
      </c>
      <c r="H23" s="1" t="s">
        <v>69</v>
      </c>
      <c r="I23" s="1" t="s">
        <v>30</v>
      </c>
      <c r="J23" s="9">
        <v>71</v>
      </c>
      <c r="K23" s="1" t="str">
        <f>IF(Table1[[#This Row],[AGE]]&lt;=18,"CHILD",IF(Table1[[#This Row],[AGE]]&lt;=20,"TEEN",IF(Table1[[#This Row],[AGE]]&lt;=40,"ADULT",IF(Table1[[#This Row],[AGE]]&lt;=60,"SENIOR CITIZEN","OLD CITIZEN"))))</f>
        <v>OLD CITIZEN</v>
      </c>
      <c r="L23" s="1" t="s">
        <v>52</v>
      </c>
      <c r="M23" s="1" t="s">
        <v>32</v>
      </c>
      <c r="N23" s="13">
        <f>VLOOKUP(Table1[[#This Row],[TRANSACTION ID]],'Transaction ID Record'!$C$3:$D$510,2,FALSE)</f>
        <v>95348</v>
      </c>
    </row>
    <row r="24" spans="1:14" x14ac:dyDescent="0.35">
      <c r="A24" s="6" t="str">
        <f>TEXT(Table1[[#This Row],[DATE]],"MMMM")</f>
        <v>January</v>
      </c>
      <c r="B24" s="10">
        <v>44579</v>
      </c>
      <c r="C24" s="1" t="s">
        <v>96</v>
      </c>
      <c r="D24" s="1" t="str">
        <f>UPPER(Table1[[#This Row],[NAME2]])</f>
        <v>AKANTEYON WILLIAMS</v>
      </c>
      <c r="E24" s="1" t="s">
        <v>97</v>
      </c>
      <c r="F24" s="1" t="s">
        <v>805</v>
      </c>
      <c r="G24" s="1" t="s">
        <v>21</v>
      </c>
      <c r="H24" s="1" t="s">
        <v>98</v>
      </c>
      <c r="I24" s="1" t="s">
        <v>30</v>
      </c>
      <c r="J24" s="9">
        <v>25</v>
      </c>
      <c r="K24" s="1" t="str">
        <f>IF(Table1[[#This Row],[AGE]]&lt;=18,"CHILD",IF(Table1[[#This Row],[AGE]]&lt;=20,"TEEN",IF(Table1[[#This Row],[AGE]]&lt;=40,"ADULT",IF(Table1[[#This Row],[AGE]]&lt;=60,"SENIOR CITIZEN","OLD CITIZEN"))))</f>
        <v>ADULT</v>
      </c>
      <c r="L24" s="1" t="s">
        <v>37</v>
      </c>
      <c r="M24" s="1" t="s">
        <v>25</v>
      </c>
      <c r="N24" s="13">
        <f>VLOOKUP(Table1[[#This Row],[TRANSACTION ID]],'Transaction ID Record'!$C$3:$D$510,2,FALSE)</f>
        <v>176738</v>
      </c>
    </row>
    <row r="25" spans="1:14" x14ac:dyDescent="0.35">
      <c r="A25" s="6" t="str">
        <f>TEXT(Table1[[#This Row],[DATE]],"MMMM")</f>
        <v>January</v>
      </c>
      <c r="B25" s="10">
        <v>44579</v>
      </c>
      <c r="C25" s="1" t="s">
        <v>99</v>
      </c>
      <c r="D25" s="1" t="str">
        <f>UPPER(Table1[[#This Row],[NAME2]])</f>
        <v>HIROKO PANOVSKY</v>
      </c>
      <c r="E25" s="1" t="s">
        <v>100</v>
      </c>
      <c r="F25" s="1" t="s">
        <v>101</v>
      </c>
      <c r="G25" s="1" t="s">
        <v>13</v>
      </c>
      <c r="H25" s="1" t="s">
        <v>102</v>
      </c>
      <c r="I25" s="1" t="s">
        <v>15</v>
      </c>
      <c r="J25" s="9">
        <v>59</v>
      </c>
      <c r="K25" s="1" t="str">
        <f>IF(Table1[[#This Row],[AGE]]&lt;=18,"CHILD",IF(Table1[[#This Row],[AGE]]&lt;=20,"TEEN",IF(Table1[[#This Row],[AGE]]&lt;=40,"ADULT",IF(Table1[[#This Row],[AGE]]&lt;=60,"SENIOR CITIZEN","OLD CITIZEN"))))</f>
        <v>SENIOR CITIZEN</v>
      </c>
      <c r="L25" s="1" t="s">
        <v>31</v>
      </c>
      <c r="M25" s="1" t="s">
        <v>47</v>
      </c>
      <c r="N25" s="13">
        <f>VLOOKUP(Table1[[#This Row],[TRANSACTION ID]],'Transaction ID Record'!$C$3:$D$510,2,FALSE)</f>
        <v>18062</v>
      </c>
    </row>
    <row r="26" spans="1:14" x14ac:dyDescent="0.35">
      <c r="A26" s="6" t="str">
        <f>TEXT(Table1[[#This Row],[DATE]],"MMMM")</f>
        <v>January</v>
      </c>
      <c r="B26" s="10">
        <v>44581</v>
      </c>
      <c r="C26" s="1" t="s">
        <v>103</v>
      </c>
      <c r="D26" s="1" t="str">
        <f>UPPER(Table1[[#This Row],[NAME2]])</f>
        <v>BRYNNE NANKAM</v>
      </c>
      <c r="E26" s="1" t="s">
        <v>104</v>
      </c>
      <c r="F26" s="1" t="s">
        <v>806</v>
      </c>
      <c r="G26" s="1" t="s">
        <v>13</v>
      </c>
      <c r="H26" s="1" t="s">
        <v>105</v>
      </c>
      <c r="I26" s="1" t="s">
        <v>30</v>
      </c>
      <c r="J26" s="9">
        <v>64</v>
      </c>
      <c r="K26" s="1" t="str">
        <f>IF(Table1[[#This Row],[AGE]]&lt;=18,"CHILD",IF(Table1[[#This Row],[AGE]]&lt;=20,"TEEN",IF(Table1[[#This Row],[AGE]]&lt;=40,"ADULT",IF(Table1[[#This Row],[AGE]]&lt;=60,"SENIOR CITIZEN","OLD CITIZEN"))))</f>
        <v>OLD CITIZEN</v>
      </c>
      <c r="L26" s="1" t="s">
        <v>66</v>
      </c>
      <c r="M26" s="1" t="s">
        <v>25</v>
      </c>
      <c r="N26" s="13">
        <f>VLOOKUP(Table1[[#This Row],[TRANSACTION ID]],'Transaction ID Record'!$C$3:$D$510,2,FALSE)</f>
        <v>24533</v>
      </c>
    </row>
    <row r="27" spans="1:14" x14ac:dyDescent="0.35">
      <c r="A27" s="6" t="str">
        <f>TEXT(Table1[[#This Row],[DATE]],"MMMM")</f>
        <v>January</v>
      </c>
      <c r="B27" s="10">
        <v>44582</v>
      </c>
      <c r="C27" s="1" t="s">
        <v>106</v>
      </c>
      <c r="D27" s="1" t="str">
        <f>UPPER(Table1[[#This Row],[NAME2]])</f>
        <v>TAOHEED PERKINS</v>
      </c>
      <c r="E27" s="1" t="s">
        <v>107</v>
      </c>
      <c r="F27" s="1" t="s">
        <v>807</v>
      </c>
      <c r="G27" s="1" t="s">
        <v>21</v>
      </c>
      <c r="H27" s="1" t="s">
        <v>108</v>
      </c>
      <c r="I27" s="1" t="s">
        <v>15</v>
      </c>
      <c r="J27" s="9">
        <v>73</v>
      </c>
      <c r="K27" s="1" t="str">
        <f>IF(Table1[[#This Row],[AGE]]&lt;=18,"CHILD",IF(Table1[[#This Row],[AGE]]&lt;=20,"TEEN",IF(Table1[[#This Row],[AGE]]&lt;=40,"ADULT",IF(Table1[[#This Row],[AGE]]&lt;=60,"SENIOR CITIZEN","OLD CITIZEN"))))</f>
        <v>OLD CITIZEN</v>
      </c>
      <c r="L27" s="1" t="s">
        <v>57</v>
      </c>
      <c r="M27" s="1" t="s">
        <v>17</v>
      </c>
      <c r="N27" s="13">
        <f>VLOOKUP(Table1[[#This Row],[TRANSACTION ID]],'Transaction ID Record'!$C$3:$D$510,2,FALSE)</f>
        <v>138221</v>
      </c>
    </row>
    <row r="28" spans="1:14" x14ac:dyDescent="0.35">
      <c r="A28" s="6" t="str">
        <f>TEXT(Table1[[#This Row],[DATE]],"MMMM")</f>
        <v>January</v>
      </c>
      <c r="B28" s="10">
        <v>44583</v>
      </c>
      <c r="C28" s="1" t="s">
        <v>109</v>
      </c>
      <c r="D28" s="1" t="str">
        <f>UPPER(Table1[[#This Row],[NAME2]])</f>
        <v>HIROKO PANOVSKY</v>
      </c>
      <c r="E28" s="1" t="s">
        <v>100</v>
      </c>
      <c r="F28" s="1" t="s">
        <v>101</v>
      </c>
      <c r="G28" s="1" t="s">
        <v>13</v>
      </c>
      <c r="H28" s="1" t="s">
        <v>102</v>
      </c>
      <c r="I28" s="1" t="s">
        <v>15</v>
      </c>
      <c r="J28" s="9">
        <v>59</v>
      </c>
      <c r="K28" s="1" t="str">
        <f>IF(Table1[[#This Row],[AGE]]&lt;=18,"CHILD",IF(Table1[[#This Row],[AGE]]&lt;=20,"TEEN",IF(Table1[[#This Row],[AGE]]&lt;=40,"ADULT",IF(Table1[[#This Row],[AGE]]&lt;=60,"SENIOR CITIZEN","OLD CITIZEN"))))</f>
        <v>SENIOR CITIZEN</v>
      </c>
      <c r="L28" s="1" t="s">
        <v>16</v>
      </c>
      <c r="M28" s="1" t="s">
        <v>25</v>
      </c>
      <c r="N28" s="13">
        <f>VLOOKUP(Table1[[#This Row],[TRANSACTION ID]],'Transaction ID Record'!$C$3:$D$510,2,FALSE)</f>
        <v>161178</v>
      </c>
    </row>
    <row r="29" spans="1:14" x14ac:dyDescent="0.35">
      <c r="A29" s="6" t="str">
        <f>TEXT(Table1[[#This Row],[DATE]],"MMMM")</f>
        <v>January</v>
      </c>
      <c r="B29" s="10">
        <v>44584</v>
      </c>
      <c r="C29" s="1" t="s">
        <v>110</v>
      </c>
      <c r="D29" s="1" t="str">
        <f>UPPER(Table1[[#This Row],[NAME2]])</f>
        <v>AGEMO BARNES</v>
      </c>
      <c r="E29" s="1" t="s">
        <v>111</v>
      </c>
      <c r="F29" s="1" t="s">
        <v>112</v>
      </c>
      <c r="G29" s="1" t="s">
        <v>21</v>
      </c>
      <c r="H29" s="1" t="s">
        <v>113</v>
      </c>
      <c r="I29" s="1" t="s">
        <v>23</v>
      </c>
      <c r="J29" s="9">
        <v>58</v>
      </c>
      <c r="K29" s="1" t="str">
        <f>IF(Table1[[#This Row],[AGE]]&lt;=18,"CHILD",IF(Table1[[#This Row],[AGE]]&lt;=20,"TEEN",IF(Table1[[#This Row],[AGE]]&lt;=40,"ADULT",IF(Table1[[#This Row],[AGE]]&lt;=60,"SENIOR CITIZEN","OLD CITIZEN"))))</f>
        <v>SENIOR CITIZEN</v>
      </c>
      <c r="L29" s="1" t="s">
        <v>52</v>
      </c>
      <c r="M29" s="1" t="s">
        <v>47</v>
      </c>
      <c r="N29" s="13">
        <f>VLOOKUP(Table1[[#This Row],[TRANSACTION ID]],'Transaction ID Record'!$C$3:$D$510,2,FALSE)</f>
        <v>105728</v>
      </c>
    </row>
    <row r="30" spans="1:14" x14ac:dyDescent="0.35">
      <c r="A30" s="6" t="str">
        <f>TEXT(Table1[[#This Row],[DATE]],"MMMM")</f>
        <v>January</v>
      </c>
      <c r="B30" s="10">
        <v>44586</v>
      </c>
      <c r="C30" s="1" t="s">
        <v>114</v>
      </c>
      <c r="D30" s="1" t="str">
        <f>UPPER(Table1[[#This Row],[NAME2]])</f>
        <v>TAOHEED ABBOTT</v>
      </c>
      <c r="E30" s="1" t="s">
        <v>115</v>
      </c>
      <c r="F30" s="1" t="s">
        <v>808</v>
      </c>
      <c r="G30" s="1" t="s">
        <v>13</v>
      </c>
      <c r="H30" s="1" t="s">
        <v>116</v>
      </c>
      <c r="I30" s="1" t="s">
        <v>15</v>
      </c>
      <c r="J30" s="9">
        <v>67</v>
      </c>
      <c r="K30" s="1" t="str">
        <f>IF(Table1[[#This Row],[AGE]]&lt;=18,"CHILD",IF(Table1[[#This Row],[AGE]]&lt;=20,"TEEN",IF(Table1[[#This Row],[AGE]]&lt;=40,"ADULT",IF(Table1[[#This Row],[AGE]]&lt;=60,"SENIOR CITIZEN","OLD CITIZEN"))))</f>
        <v>OLD CITIZEN</v>
      </c>
      <c r="L30" s="1" t="s">
        <v>31</v>
      </c>
      <c r="M30" s="1" t="s">
        <v>25</v>
      </c>
      <c r="N30" s="13">
        <f>VLOOKUP(Table1[[#This Row],[TRANSACTION ID]],'Transaction ID Record'!$C$3:$D$510,2,FALSE)</f>
        <v>161776</v>
      </c>
    </row>
    <row r="31" spans="1:14" x14ac:dyDescent="0.35">
      <c r="A31" s="6" t="str">
        <f>TEXT(Table1[[#This Row],[DATE]],"MMMM")</f>
        <v>January</v>
      </c>
      <c r="B31" s="10">
        <v>44586</v>
      </c>
      <c r="C31" s="1" t="s">
        <v>117</v>
      </c>
      <c r="D31" s="1" t="str">
        <f>UPPER(Table1[[#This Row],[NAME2]])</f>
        <v>BAKARE ANDREA</v>
      </c>
      <c r="E31" s="1" t="s">
        <v>118</v>
      </c>
      <c r="F31" s="1" t="s">
        <v>809</v>
      </c>
      <c r="G31" s="1" t="s">
        <v>21</v>
      </c>
      <c r="H31" s="1" t="s">
        <v>119</v>
      </c>
      <c r="I31" s="1" t="s">
        <v>30</v>
      </c>
      <c r="J31" s="9">
        <v>19</v>
      </c>
      <c r="K31" s="1" t="str">
        <f>IF(Table1[[#This Row],[AGE]]&lt;=18,"CHILD",IF(Table1[[#This Row],[AGE]]&lt;=20,"TEEN",IF(Table1[[#This Row],[AGE]]&lt;=40,"ADULT",IF(Table1[[#This Row],[AGE]]&lt;=60,"SENIOR CITIZEN","OLD CITIZEN"))))</f>
        <v>TEEN</v>
      </c>
      <c r="L31" s="1" t="s">
        <v>24</v>
      </c>
      <c r="M31" s="1" t="s">
        <v>17</v>
      </c>
      <c r="N31" s="13">
        <f>VLOOKUP(Table1[[#This Row],[TRANSACTION ID]],'Transaction ID Record'!$C$3:$D$510,2,FALSE)</f>
        <v>174578</v>
      </c>
    </row>
    <row r="32" spans="1:14" x14ac:dyDescent="0.35">
      <c r="A32" s="6" t="str">
        <f>TEXT(Table1[[#This Row],[DATE]],"MMMM")</f>
        <v>January</v>
      </c>
      <c r="B32" s="10">
        <v>44586</v>
      </c>
      <c r="C32" s="1" t="s">
        <v>120</v>
      </c>
      <c r="D32" s="1" t="str">
        <f>UPPER(Table1[[#This Row],[NAME2]])</f>
        <v>ADELEKE FITZPATRICK</v>
      </c>
      <c r="E32" s="1" t="s">
        <v>121</v>
      </c>
      <c r="F32" s="1" t="s">
        <v>122</v>
      </c>
      <c r="G32" s="1" t="s">
        <v>13</v>
      </c>
      <c r="H32" s="1" t="s">
        <v>123</v>
      </c>
      <c r="I32" s="1" t="s">
        <v>15</v>
      </c>
      <c r="J32" s="9">
        <v>59</v>
      </c>
      <c r="K32" s="1" t="str">
        <f>IF(Table1[[#This Row],[AGE]]&lt;=18,"CHILD",IF(Table1[[#This Row],[AGE]]&lt;=20,"TEEN",IF(Table1[[#This Row],[AGE]]&lt;=40,"ADULT",IF(Table1[[#This Row],[AGE]]&lt;=60,"SENIOR CITIZEN","OLD CITIZEN"))))</f>
        <v>SENIOR CITIZEN</v>
      </c>
      <c r="L32" s="1" t="s">
        <v>42</v>
      </c>
      <c r="M32" s="1" t="s">
        <v>17</v>
      </c>
      <c r="N32" s="13">
        <f>VLOOKUP(Table1[[#This Row],[TRANSACTION ID]],'Transaction ID Record'!$C$3:$D$510,2,FALSE)</f>
        <v>161232</v>
      </c>
    </row>
    <row r="33" spans="1:14" x14ac:dyDescent="0.35">
      <c r="A33" s="6" t="str">
        <f>TEXT(Table1[[#This Row],[DATE]],"MMMM")</f>
        <v>January</v>
      </c>
      <c r="B33" s="10">
        <v>44587</v>
      </c>
      <c r="C33" s="1" t="s">
        <v>124</v>
      </c>
      <c r="D33" s="1" t="str">
        <f>UPPER(Table1[[#This Row],[NAME2]])</f>
        <v>ADENIYI CHANG</v>
      </c>
      <c r="E33" s="1" t="s">
        <v>125</v>
      </c>
      <c r="F33" s="1" t="s">
        <v>126</v>
      </c>
      <c r="G33" s="1" t="s">
        <v>21</v>
      </c>
      <c r="H33" s="1" t="s">
        <v>127</v>
      </c>
      <c r="I33" s="1" t="s">
        <v>23</v>
      </c>
      <c r="J33" s="9">
        <v>76</v>
      </c>
      <c r="K33" s="1" t="str">
        <f>IF(Table1[[#This Row],[AGE]]&lt;=18,"CHILD",IF(Table1[[#This Row],[AGE]]&lt;=20,"TEEN",IF(Table1[[#This Row],[AGE]]&lt;=40,"ADULT",IF(Table1[[#This Row],[AGE]]&lt;=60,"SENIOR CITIZEN","OLD CITIZEN"))))</f>
        <v>OLD CITIZEN</v>
      </c>
      <c r="L33" s="1" t="s">
        <v>37</v>
      </c>
      <c r="M33" s="1" t="s">
        <v>61</v>
      </c>
      <c r="N33" s="13">
        <f>VLOOKUP(Table1[[#This Row],[TRANSACTION ID]],'Transaction ID Record'!$C$3:$D$510,2,FALSE)</f>
        <v>124432</v>
      </c>
    </row>
    <row r="34" spans="1:14" x14ac:dyDescent="0.35">
      <c r="A34" s="6" t="str">
        <f>TEXT(Table1[[#This Row],[DATE]],"MMMM")</f>
        <v>January</v>
      </c>
      <c r="B34" s="10">
        <v>44587</v>
      </c>
      <c r="C34" s="1" t="s">
        <v>128</v>
      </c>
      <c r="D34" s="1" t="str">
        <f>UPPER(Table1[[#This Row],[NAME2]])</f>
        <v>CELESTE MILLER</v>
      </c>
      <c r="E34" s="1" t="s">
        <v>129</v>
      </c>
      <c r="F34" s="1" t="s">
        <v>130</v>
      </c>
      <c r="G34" s="1" t="s">
        <v>21</v>
      </c>
      <c r="H34" s="1" t="s">
        <v>131</v>
      </c>
      <c r="I34" s="1" t="s">
        <v>23</v>
      </c>
      <c r="J34" s="9">
        <v>66</v>
      </c>
      <c r="K34" s="1" t="str">
        <f>IF(Table1[[#This Row],[AGE]]&lt;=18,"CHILD",IF(Table1[[#This Row],[AGE]]&lt;=20,"TEEN",IF(Table1[[#This Row],[AGE]]&lt;=40,"ADULT",IF(Table1[[#This Row],[AGE]]&lt;=60,"SENIOR CITIZEN","OLD CITIZEN"))))</f>
        <v>OLD CITIZEN</v>
      </c>
      <c r="L34" s="1" t="s">
        <v>42</v>
      </c>
      <c r="M34" s="1" t="s">
        <v>61</v>
      </c>
      <c r="N34" s="13">
        <f>VLOOKUP(Table1[[#This Row],[TRANSACTION ID]],'Transaction ID Record'!$C$3:$D$510,2,FALSE)</f>
        <v>107133</v>
      </c>
    </row>
    <row r="35" spans="1:14" x14ac:dyDescent="0.35">
      <c r="A35" s="6" t="str">
        <f>TEXT(Table1[[#This Row],[DATE]],"MMMM")</f>
        <v>January</v>
      </c>
      <c r="B35" s="10">
        <v>44588</v>
      </c>
      <c r="C35" s="1" t="s">
        <v>132</v>
      </c>
      <c r="D35" s="1" t="str">
        <f>UPPER(Table1[[#This Row],[NAME2]])</f>
        <v>OLAOGUN KIDD</v>
      </c>
      <c r="E35" s="1" t="s">
        <v>133</v>
      </c>
      <c r="F35" s="1" t="s">
        <v>134</v>
      </c>
      <c r="G35" s="1" t="s">
        <v>13</v>
      </c>
      <c r="H35" s="1" t="s">
        <v>135</v>
      </c>
      <c r="I35" s="1" t="s">
        <v>23</v>
      </c>
      <c r="J35" s="9">
        <v>68</v>
      </c>
      <c r="K35" s="1" t="str">
        <f>IF(Table1[[#This Row],[AGE]]&lt;=18,"CHILD",IF(Table1[[#This Row],[AGE]]&lt;=20,"TEEN",IF(Table1[[#This Row],[AGE]]&lt;=40,"ADULT",IF(Table1[[#This Row],[AGE]]&lt;=60,"SENIOR CITIZEN","OLD CITIZEN"))))</f>
        <v>OLD CITIZEN</v>
      </c>
      <c r="L35" s="1" t="s">
        <v>37</v>
      </c>
      <c r="M35" s="1" t="s">
        <v>47</v>
      </c>
      <c r="N35" s="13">
        <f>VLOOKUP(Table1[[#This Row],[TRANSACTION ID]],'Transaction ID Record'!$C$3:$D$510,2,FALSE)</f>
        <v>77948</v>
      </c>
    </row>
    <row r="36" spans="1:14" x14ac:dyDescent="0.35">
      <c r="A36" s="6" t="str">
        <f>TEXT(Table1[[#This Row],[DATE]],"MMMM")</f>
        <v>January</v>
      </c>
      <c r="B36" s="10">
        <v>44588</v>
      </c>
      <c r="C36" s="1" t="s">
        <v>136</v>
      </c>
      <c r="D36" s="1" t="str">
        <f>UPPER(Table1[[#This Row],[NAME2]])</f>
        <v>ADEBOLA EZICHI</v>
      </c>
      <c r="E36" s="1" t="s">
        <v>137</v>
      </c>
      <c r="F36" s="1" t="s">
        <v>138</v>
      </c>
      <c r="G36" s="1" t="s">
        <v>21</v>
      </c>
      <c r="H36" s="1" t="s">
        <v>139</v>
      </c>
      <c r="I36" s="1" t="s">
        <v>15</v>
      </c>
      <c r="J36" s="9">
        <v>37</v>
      </c>
      <c r="K36" s="1" t="str">
        <f>IF(Table1[[#This Row],[AGE]]&lt;=18,"CHILD",IF(Table1[[#This Row],[AGE]]&lt;=20,"TEEN",IF(Table1[[#This Row],[AGE]]&lt;=40,"ADULT",IF(Table1[[#This Row],[AGE]]&lt;=60,"SENIOR CITIZEN","OLD CITIZEN"))))</f>
        <v>ADULT</v>
      </c>
      <c r="L36" s="1" t="s">
        <v>24</v>
      </c>
      <c r="M36" s="1" t="s">
        <v>47</v>
      </c>
      <c r="N36" s="13">
        <f>VLOOKUP(Table1[[#This Row],[TRANSACTION ID]],'Transaction ID Record'!$C$3:$D$510,2,FALSE)</f>
        <v>158925</v>
      </c>
    </row>
    <row r="37" spans="1:14" x14ac:dyDescent="0.35">
      <c r="A37" s="6" t="str">
        <f>TEXT(Table1[[#This Row],[DATE]],"MMMM")</f>
        <v>January</v>
      </c>
      <c r="B37" s="10">
        <v>44588</v>
      </c>
      <c r="C37" s="1" t="s">
        <v>140</v>
      </c>
      <c r="D37" s="1" t="str">
        <f>UPPER(Table1[[#This Row],[NAME2]])</f>
        <v>PETER DIXON</v>
      </c>
      <c r="E37" s="1" t="s">
        <v>141</v>
      </c>
      <c r="F37" s="1" t="s">
        <v>142</v>
      </c>
      <c r="G37" s="1" t="s">
        <v>21</v>
      </c>
      <c r="H37" s="1" t="s">
        <v>143</v>
      </c>
      <c r="I37" s="1" t="s">
        <v>15</v>
      </c>
      <c r="J37" s="9">
        <v>34</v>
      </c>
      <c r="K37" s="1" t="str">
        <f>IF(Table1[[#This Row],[AGE]]&lt;=18,"CHILD",IF(Table1[[#This Row],[AGE]]&lt;=20,"TEEN",IF(Table1[[#This Row],[AGE]]&lt;=40,"ADULT",IF(Table1[[#This Row],[AGE]]&lt;=60,"SENIOR CITIZEN","OLD CITIZEN"))))</f>
        <v>ADULT</v>
      </c>
      <c r="L37" s="1" t="s">
        <v>66</v>
      </c>
      <c r="M37" s="1" t="s">
        <v>17</v>
      </c>
      <c r="N37" s="13">
        <f>VLOOKUP(Table1[[#This Row],[TRANSACTION ID]],'Transaction ID Record'!$C$3:$D$510,2,FALSE)</f>
        <v>44520</v>
      </c>
    </row>
    <row r="38" spans="1:14" x14ac:dyDescent="0.35">
      <c r="A38" s="6" t="str">
        <f>TEXT(Table1[[#This Row],[DATE]],"MMMM")</f>
        <v>January</v>
      </c>
      <c r="B38" s="10">
        <v>44589</v>
      </c>
      <c r="C38" s="1" t="s">
        <v>144</v>
      </c>
      <c r="D38" s="1" t="str">
        <f>UPPER(Table1[[#This Row],[NAME2]])</f>
        <v>LATIFAH OGBONNA</v>
      </c>
      <c r="E38" s="1" t="s">
        <v>145</v>
      </c>
      <c r="F38" s="1" t="s">
        <v>146</v>
      </c>
      <c r="G38" s="1" t="s">
        <v>13</v>
      </c>
      <c r="H38" s="1" t="s">
        <v>147</v>
      </c>
      <c r="I38" s="1" t="s">
        <v>23</v>
      </c>
      <c r="J38" s="9">
        <v>46</v>
      </c>
      <c r="K38" s="1" t="str">
        <f>IF(Table1[[#This Row],[AGE]]&lt;=18,"CHILD",IF(Table1[[#This Row],[AGE]]&lt;=20,"TEEN",IF(Table1[[#This Row],[AGE]]&lt;=40,"ADULT",IF(Table1[[#This Row],[AGE]]&lt;=60,"SENIOR CITIZEN","OLD CITIZEN"))))</f>
        <v>SENIOR CITIZEN</v>
      </c>
      <c r="L38" s="1" t="s">
        <v>16</v>
      </c>
      <c r="M38" s="1" t="s">
        <v>25</v>
      </c>
      <c r="N38" s="13">
        <f>VLOOKUP(Table1[[#This Row],[TRANSACTION ID]],'Transaction ID Record'!$C$3:$D$510,2,FALSE)</f>
        <v>12216</v>
      </c>
    </row>
    <row r="39" spans="1:14" x14ac:dyDescent="0.35">
      <c r="A39" s="6" t="str">
        <f>TEXT(Table1[[#This Row],[DATE]],"MMMM")</f>
        <v>January</v>
      </c>
      <c r="B39" s="10">
        <v>44591</v>
      </c>
      <c r="C39" s="1" t="s">
        <v>148</v>
      </c>
      <c r="D39" s="1" t="str">
        <f>UPPER(Table1[[#This Row],[NAME2]])</f>
        <v>FEMI JORDAN</v>
      </c>
      <c r="E39" s="1" t="s">
        <v>149</v>
      </c>
      <c r="F39" s="1" t="s">
        <v>810</v>
      </c>
      <c r="G39" s="1" t="s">
        <v>21</v>
      </c>
      <c r="H39" s="1" t="s">
        <v>150</v>
      </c>
      <c r="I39" s="1" t="s">
        <v>15</v>
      </c>
      <c r="J39" s="9">
        <v>68</v>
      </c>
      <c r="K39" s="1" t="str">
        <f>IF(Table1[[#This Row],[AGE]]&lt;=18,"CHILD",IF(Table1[[#This Row],[AGE]]&lt;=20,"TEEN",IF(Table1[[#This Row],[AGE]]&lt;=40,"ADULT",IF(Table1[[#This Row],[AGE]]&lt;=60,"SENIOR CITIZEN","OLD CITIZEN"))))</f>
        <v>OLD CITIZEN</v>
      </c>
      <c r="L39" s="1" t="s">
        <v>151</v>
      </c>
      <c r="M39" s="1" t="s">
        <v>25</v>
      </c>
      <c r="N39" s="13">
        <f>VLOOKUP(Table1[[#This Row],[TRANSACTION ID]],'Transaction ID Record'!$C$3:$D$510,2,FALSE)</f>
        <v>127046</v>
      </c>
    </row>
    <row r="40" spans="1:14" x14ac:dyDescent="0.35">
      <c r="A40" s="6" t="str">
        <f>TEXT(Table1[[#This Row],[DATE]],"MMMM")</f>
        <v>January</v>
      </c>
      <c r="B40" s="10">
        <v>44592</v>
      </c>
      <c r="C40" s="1" t="s">
        <v>152</v>
      </c>
      <c r="D40" s="1" t="str">
        <f>UPPER(Table1[[#This Row],[NAME2]])</f>
        <v>BELL JUAREZ</v>
      </c>
      <c r="E40" s="1" t="s">
        <v>68</v>
      </c>
      <c r="F40" s="1" t="s">
        <v>801</v>
      </c>
      <c r="G40" s="1" t="s">
        <v>13</v>
      </c>
      <c r="H40" s="1" t="s">
        <v>69</v>
      </c>
      <c r="I40" s="1" t="s">
        <v>30</v>
      </c>
      <c r="J40" s="9">
        <v>71</v>
      </c>
      <c r="K40" s="1" t="str">
        <f>IF(Table1[[#This Row],[AGE]]&lt;=18,"CHILD",IF(Table1[[#This Row],[AGE]]&lt;=20,"TEEN",IF(Table1[[#This Row],[AGE]]&lt;=40,"ADULT",IF(Table1[[#This Row],[AGE]]&lt;=60,"SENIOR CITIZEN","OLD CITIZEN"))))</f>
        <v>OLD CITIZEN</v>
      </c>
      <c r="L40" s="1" t="s">
        <v>66</v>
      </c>
      <c r="M40" s="1" t="s">
        <v>32</v>
      </c>
      <c r="N40" s="13">
        <f>VLOOKUP(Table1[[#This Row],[TRANSACTION ID]],'Transaction ID Record'!$C$3:$D$510,2,FALSE)</f>
        <v>89447</v>
      </c>
    </row>
    <row r="41" spans="1:14" x14ac:dyDescent="0.35">
      <c r="A41" s="6" t="str">
        <f>TEXT(Table1[[#This Row],[DATE]],"MMMM")</f>
        <v>January</v>
      </c>
      <c r="B41" s="10">
        <v>44592</v>
      </c>
      <c r="C41" s="1" t="s">
        <v>153</v>
      </c>
      <c r="D41" s="1" t="str">
        <f>UPPER(Table1[[#This Row],[NAME2]])</f>
        <v>MERCEDES SELHORST</v>
      </c>
      <c r="E41" s="1" t="s">
        <v>154</v>
      </c>
      <c r="F41" s="1" t="s">
        <v>155</v>
      </c>
      <c r="G41" s="1" t="s">
        <v>21</v>
      </c>
      <c r="H41" s="1" t="s">
        <v>156</v>
      </c>
      <c r="I41" s="1" t="s">
        <v>23</v>
      </c>
      <c r="J41" s="9">
        <v>68</v>
      </c>
      <c r="K41" s="1" t="str">
        <f>IF(Table1[[#This Row],[AGE]]&lt;=18,"CHILD",IF(Table1[[#This Row],[AGE]]&lt;=20,"TEEN",IF(Table1[[#This Row],[AGE]]&lt;=40,"ADULT",IF(Table1[[#This Row],[AGE]]&lt;=60,"SENIOR CITIZEN","OLD CITIZEN"))))</f>
        <v>OLD CITIZEN</v>
      </c>
      <c r="L41" s="1" t="s">
        <v>16</v>
      </c>
      <c r="M41" s="1" t="s">
        <v>25</v>
      </c>
      <c r="N41" s="13">
        <f>VLOOKUP(Table1[[#This Row],[TRANSACTION ID]],'Transaction ID Record'!$C$3:$D$510,2,FALSE)</f>
        <v>68762</v>
      </c>
    </row>
    <row r="42" spans="1:14" x14ac:dyDescent="0.35">
      <c r="A42" s="6" t="str">
        <f>TEXT(Table1[[#This Row],[DATE]],"MMMM")</f>
        <v>January</v>
      </c>
      <c r="B42" s="10">
        <v>44592</v>
      </c>
      <c r="C42" s="1" t="s">
        <v>157</v>
      </c>
      <c r="D42" s="1" t="str">
        <f>UPPER(Table1[[#This Row],[NAME2]])</f>
        <v>JOY GARZA</v>
      </c>
      <c r="E42" s="1" t="s">
        <v>158</v>
      </c>
      <c r="F42" s="1" t="s">
        <v>159</v>
      </c>
      <c r="G42" s="1" t="s">
        <v>13</v>
      </c>
      <c r="H42" s="1" t="s">
        <v>160</v>
      </c>
      <c r="I42" s="1" t="s">
        <v>23</v>
      </c>
      <c r="J42" s="9">
        <v>60</v>
      </c>
      <c r="K42" s="1" t="str">
        <f>IF(Table1[[#This Row],[AGE]]&lt;=18,"CHILD",IF(Table1[[#This Row],[AGE]]&lt;=20,"TEEN",IF(Table1[[#This Row],[AGE]]&lt;=40,"ADULT",IF(Table1[[#This Row],[AGE]]&lt;=60,"SENIOR CITIZEN","OLD CITIZEN"))))</f>
        <v>SENIOR CITIZEN</v>
      </c>
      <c r="L42" s="1" t="s">
        <v>52</v>
      </c>
      <c r="M42" s="1" t="s">
        <v>17</v>
      </c>
      <c r="N42" s="13">
        <f>VLOOKUP(Table1[[#This Row],[TRANSACTION ID]],'Transaction ID Record'!$C$3:$D$510,2,FALSE)</f>
        <v>156114</v>
      </c>
    </row>
    <row r="43" spans="1:14" x14ac:dyDescent="0.35">
      <c r="A43" s="6" t="str">
        <f>TEXT(Table1[[#This Row],[DATE]],"MMMM")</f>
        <v>February</v>
      </c>
      <c r="B43" s="10">
        <v>44594</v>
      </c>
      <c r="C43" s="1" t="s">
        <v>161</v>
      </c>
      <c r="D43" s="1" t="str">
        <f>UPPER(Table1[[#This Row],[NAME2]])</f>
        <v>PETER ADAMS</v>
      </c>
      <c r="E43" s="1" t="s">
        <v>162</v>
      </c>
      <c r="F43" s="1" t="s">
        <v>811</v>
      </c>
      <c r="G43" s="1" t="s">
        <v>13</v>
      </c>
      <c r="H43" s="1" t="s">
        <v>163</v>
      </c>
      <c r="I43" s="1" t="s">
        <v>15</v>
      </c>
      <c r="J43" s="9">
        <v>64</v>
      </c>
      <c r="K43" s="1" t="str">
        <f>IF(Table1[[#This Row],[AGE]]&lt;=18,"CHILD",IF(Table1[[#This Row],[AGE]]&lt;=20,"TEEN",IF(Table1[[#This Row],[AGE]]&lt;=40,"ADULT",IF(Table1[[#This Row],[AGE]]&lt;=60,"SENIOR CITIZEN","OLD CITIZEN"))))</f>
        <v>OLD CITIZEN</v>
      </c>
      <c r="L43" s="1" t="s">
        <v>42</v>
      </c>
      <c r="M43" s="1" t="s">
        <v>17</v>
      </c>
      <c r="N43" s="13">
        <f>VLOOKUP(Table1[[#This Row],[TRANSACTION ID]],'Transaction ID Record'!$C$3:$D$510,2,FALSE)</f>
        <v>167238</v>
      </c>
    </row>
    <row r="44" spans="1:14" x14ac:dyDescent="0.35">
      <c r="A44" s="6" t="str">
        <f>TEXT(Table1[[#This Row],[DATE]],"MMMM")</f>
        <v>February</v>
      </c>
      <c r="B44" s="10">
        <v>44595</v>
      </c>
      <c r="C44" s="1" t="s">
        <v>164</v>
      </c>
      <c r="D44" s="1" t="str">
        <f>UPPER(Table1[[#This Row],[NAME2]])</f>
        <v>MAITE CORTEZ</v>
      </c>
      <c r="E44" s="1" t="s">
        <v>165</v>
      </c>
      <c r="F44" s="1" t="s">
        <v>812</v>
      </c>
      <c r="G44" s="1" t="s">
        <v>21</v>
      </c>
      <c r="H44" s="1" t="s">
        <v>166</v>
      </c>
      <c r="I44" s="1" t="s">
        <v>30</v>
      </c>
      <c r="J44" s="9">
        <v>26</v>
      </c>
      <c r="K44" s="1" t="str">
        <f>IF(Table1[[#This Row],[AGE]]&lt;=18,"CHILD",IF(Table1[[#This Row],[AGE]]&lt;=20,"TEEN",IF(Table1[[#This Row],[AGE]]&lt;=40,"ADULT",IF(Table1[[#This Row],[AGE]]&lt;=60,"SENIOR CITIZEN","OLD CITIZEN"))))</f>
        <v>ADULT</v>
      </c>
      <c r="L44" s="1" t="s">
        <v>167</v>
      </c>
      <c r="M44" s="1" t="s">
        <v>32</v>
      </c>
      <c r="N44" s="13">
        <f>VLOOKUP(Table1[[#This Row],[TRANSACTION ID]],'Transaction ID Record'!$C$3:$D$510,2,FALSE)</f>
        <v>18396</v>
      </c>
    </row>
    <row r="45" spans="1:14" x14ac:dyDescent="0.35">
      <c r="A45" s="6" t="str">
        <f>TEXT(Table1[[#This Row],[DATE]],"MMMM")</f>
        <v>February</v>
      </c>
      <c r="B45" s="10">
        <v>44596</v>
      </c>
      <c r="C45" s="1" t="s">
        <v>168</v>
      </c>
      <c r="D45" s="1" t="str">
        <f>UPPER(Table1[[#This Row],[NAME2]])</f>
        <v>ATHENA MACDONALD</v>
      </c>
      <c r="E45" s="1" t="s">
        <v>169</v>
      </c>
      <c r="F45" s="1" t="s">
        <v>170</v>
      </c>
      <c r="G45" s="1" t="s">
        <v>13</v>
      </c>
      <c r="H45" s="1" t="s">
        <v>171</v>
      </c>
      <c r="I45" s="1" t="s">
        <v>30</v>
      </c>
      <c r="J45" s="9">
        <v>29</v>
      </c>
      <c r="K45" s="1" t="str">
        <f>IF(Table1[[#This Row],[AGE]]&lt;=18,"CHILD",IF(Table1[[#This Row],[AGE]]&lt;=20,"TEEN",IF(Table1[[#This Row],[AGE]]&lt;=40,"ADULT",IF(Table1[[#This Row],[AGE]]&lt;=60,"SENIOR CITIZEN","OLD CITIZEN"))))</f>
        <v>ADULT</v>
      </c>
      <c r="L45" s="1" t="s">
        <v>151</v>
      </c>
      <c r="M45" s="1" t="s">
        <v>47</v>
      </c>
      <c r="N45" s="13">
        <f>VLOOKUP(Table1[[#This Row],[TRANSACTION ID]],'Transaction ID Record'!$C$3:$D$510,2,FALSE)</f>
        <v>156112</v>
      </c>
    </row>
    <row r="46" spans="1:14" x14ac:dyDescent="0.35">
      <c r="A46" s="6" t="str">
        <f>TEXT(Table1[[#This Row],[DATE]],"MMMM")</f>
        <v>February</v>
      </c>
      <c r="B46" s="10">
        <v>44597</v>
      </c>
      <c r="C46" s="1" t="s">
        <v>172</v>
      </c>
      <c r="D46" s="1" t="str">
        <f>UPPER(Table1[[#This Row],[NAME2]])</f>
        <v>OMOLARA SELHORST</v>
      </c>
      <c r="E46" s="1" t="s">
        <v>173</v>
      </c>
      <c r="F46" s="1" t="s">
        <v>174</v>
      </c>
      <c r="G46" s="1" t="s">
        <v>21</v>
      </c>
      <c r="H46" s="1" t="s">
        <v>175</v>
      </c>
      <c r="I46" s="1" t="s">
        <v>15</v>
      </c>
      <c r="J46" s="9">
        <v>66</v>
      </c>
      <c r="K46" s="1" t="str">
        <f>IF(Table1[[#This Row],[AGE]]&lt;=18,"CHILD",IF(Table1[[#This Row],[AGE]]&lt;=20,"TEEN",IF(Table1[[#This Row],[AGE]]&lt;=40,"ADULT",IF(Table1[[#This Row],[AGE]]&lt;=60,"SENIOR CITIZEN","OLD CITIZEN"))))</f>
        <v>OLD CITIZEN</v>
      </c>
      <c r="L46" s="1" t="s">
        <v>16</v>
      </c>
      <c r="M46" s="1" t="s">
        <v>25</v>
      </c>
      <c r="N46" s="13">
        <f>VLOOKUP(Table1[[#This Row],[TRANSACTION ID]],'Transaction ID Record'!$C$3:$D$510,2,FALSE)</f>
        <v>82893</v>
      </c>
    </row>
    <row r="47" spans="1:14" x14ac:dyDescent="0.35">
      <c r="A47" s="6" t="str">
        <f>TEXT(Table1[[#This Row],[DATE]],"MMMM")</f>
        <v>February</v>
      </c>
      <c r="B47" s="10">
        <v>44598</v>
      </c>
      <c r="C47" s="1" t="s">
        <v>176</v>
      </c>
      <c r="D47" s="1" t="str">
        <f>UPPER(Table1[[#This Row],[NAME2]])</f>
        <v>JOY GARZA</v>
      </c>
      <c r="E47" s="1" t="s">
        <v>158</v>
      </c>
      <c r="F47" s="1" t="s">
        <v>159</v>
      </c>
      <c r="G47" s="1" t="s">
        <v>13</v>
      </c>
      <c r="H47" s="1" t="s">
        <v>160</v>
      </c>
      <c r="I47" s="1" t="s">
        <v>23</v>
      </c>
      <c r="J47" s="9">
        <v>60</v>
      </c>
      <c r="K47" s="1" t="str">
        <f>IF(Table1[[#This Row],[AGE]]&lt;=18,"CHILD",IF(Table1[[#This Row],[AGE]]&lt;=20,"TEEN",IF(Table1[[#This Row],[AGE]]&lt;=40,"ADULT",IF(Table1[[#This Row],[AGE]]&lt;=60,"SENIOR CITIZEN","OLD CITIZEN"))))</f>
        <v>SENIOR CITIZEN</v>
      </c>
      <c r="L47" s="1" t="s">
        <v>66</v>
      </c>
      <c r="M47" s="1" t="s">
        <v>25</v>
      </c>
      <c r="N47" s="13">
        <f>VLOOKUP(Table1[[#This Row],[TRANSACTION ID]],'Transaction ID Record'!$C$3:$D$510,2,FALSE)</f>
        <v>74537</v>
      </c>
    </row>
    <row r="48" spans="1:14" x14ac:dyDescent="0.35">
      <c r="A48" s="6" t="str">
        <f>TEXT(Table1[[#This Row],[DATE]],"MMMM")</f>
        <v>February</v>
      </c>
      <c r="B48" s="10">
        <v>44598</v>
      </c>
      <c r="C48" s="1" t="s">
        <v>177</v>
      </c>
      <c r="D48" s="1" t="str">
        <f>UPPER(Table1[[#This Row],[NAME2]])</f>
        <v>ADENIYI TILLMAN</v>
      </c>
      <c r="E48" s="1" t="s">
        <v>178</v>
      </c>
      <c r="F48" s="1" t="s">
        <v>179</v>
      </c>
      <c r="G48" s="1" t="s">
        <v>13</v>
      </c>
      <c r="H48" s="1" t="s">
        <v>180</v>
      </c>
      <c r="I48" s="1" t="s">
        <v>30</v>
      </c>
      <c r="J48" s="9">
        <v>63</v>
      </c>
      <c r="K48" s="1" t="str">
        <f>IF(Table1[[#This Row],[AGE]]&lt;=18,"CHILD",IF(Table1[[#This Row],[AGE]]&lt;=20,"TEEN",IF(Table1[[#This Row],[AGE]]&lt;=40,"ADULT",IF(Table1[[#This Row],[AGE]]&lt;=60,"SENIOR CITIZEN","OLD CITIZEN"))))</f>
        <v>OLD CITIZEN</v>
      </c>
      <c r="L48" s="1" t="s">
        <v>151</v>
      </c>
      <c r="M48" s="1" t="s">
        <v>47</v>
      </c>
      <c r="N48" s="13">
        <f>VLOOKUP(Table1[[#This Row],[TRANSACTION ID]],'Transaction ID Record'!$C$3:$D$510,2,FALSE)</f>
        <v>21876</v>
      </c>
    </row>
    <row r="49" spans="1:14" x14ac:dyDescent="0.35">
      <c r="A49" s="6" t="str">
        <f>TEXT(Table1[[#This Row],[DATE]],"MMMM")</f>
        <v>February</v>
      </c>
      <c r="B49" s="10">
        <v>44599</v>
      </c>
      <c r="C49" s="1" t="s">
        <v>181</v>
      </c>
      <c r="D49" s="1" t="str">
        <f>UPPER(Table1[[#This Row],[NAME2]])</f>
        <v>MAITE CORTEZ</v>
      </c>
      <c r="E49" s="1" t="s">
        <v>165</v>
      </c>
      <c r="F49" s="1" t="s">
        <v>812</v>
      </c>
      <c r="G49" s="1" t="s">
        <v>21</v>
      </c>
      <c r="H49" s="1" t="s">
        <v>166</v>
      </c>
      <c r="I49" s="1" t="s">
        <v>30</v>
      </c>
      <c r="J49" s="9">
        <v>26</v>
      </c>
      <c r="K49" s="1" t="str">
        <f>IF(Table1[[#This Row],[AGE]]&lt;=18,"CHILD",IF(Table1[[#This Row],[AGE]]&lt;=20,"TEEN",IF(Table1[[#This Row],[AGE]]&lt;=40,"ADULT",IF(Table1[[#This Row],[AGE]]&lt;=60,"SENIOR CITIZEN","OLD CITIZEN"))))</f>
        <v>ADULT</v>
      </c>
      <c r="L49" s="1" t="s">
        <v>31</v>
      </c>
      <c r="M49" s="1" t="s">
        <v>17</v>
      </c>
      <c r="N49" s="13">
        <f>VLOOKUP(Table1[[#This Row],[TRANSACTION ID]],'Transaction ID Record'!$C$3:$D$510,2,FALSE)</f>
        <v>111995</v>
      </c>
    </row>
    <row r="50" spans="1:14" x14ac:dyDescent="0.35">
      <c r="A50" s="6" t="str">
        <f>TEXT(Table1[[#This Row],[DATE]],"MMMM")</f>
        <v>February</v>
      </c>
      <c r="B50" s="10">
        <v>44599</v>
      </c>
      <c r="C50" s="1" t="s">
        <v>182</v>
      </c>
      <c r="D50" s="1" t="str">
        <f>UPPER(Table1[[#This Row],[NAME2]])</f>
        <v>OMOLARA FERRIS</v>
      </c>
      <c r="E50" s="1" t="s">
        <v>183</v>
      </c>
      <c r="F50" s="1" t="s">
        <v>184</v>
      </c>
      <c r="G50" s="1" t="s">
        <v>21</v>
      </c>
      <c r="H50" s="1" t="s">
        <v>185</v>
      </c>
      <c r="I50" s="1" t="s">
        <v>15</v>
      </c>
      <c r="J50" s="9">
        <v>25</v>
      </c>
      <c r="K50" s="1" t="str">
        <f>IF(Table1[[#This Row],[AGE]]&lt;=18,"CHILD",IF(Table1[[#This Row],[AGE]]&lt;=20,"TEEN",IF(Table1[[#This Row],[AGE]]&lt;=40,"ADULT",IF(Table1[[#This Row],[AGE]]&lt;=60,"SENIOR CITIZEN","OLD CITIZEN"))))</f>
        <v>ADULT</v>
      </c>
      <c r="L50" s="1" t="s">
        <v>16</v>
      </c>
      <c r="M50" s="1" t="s">
        <v>47</v>
      </c>
      <c r="N50" s="13">
        <f>VLOOKUP(Table1[[#This Row],[TRANSACTION ID]],'Transaction ID Record'!$C$3:$D$510,2,FALSE)</f>
        <v>66506</v>
      </c>
    </row>
    <row r="51" spans="1:14" x14ac:dyDescent="0.35">
      <c r="A51" s="6" t="str">
        <f>TEXT(Table1[[#This Row],[DATE]],"MMMM")</f>
        <v>February</v>
      </c>
      <c r="B51" s="10">
        <v>44599</v>
      </c>
      <c r="C51" s="1" t="s">
        <v>186</v>
      </c>
      <c r="D51" s="1" t="str">
        <f>UPPER(Table1[[#This Row],[NAME2]])</f>
        <v>EMERSON PANOVSKY</v>
      </c>
      <c r="E51" s="1" t="s">
        <v>75</v>
      </c>
      <c r="F51" s="1" t="s">
        <v>76</v>
      </c>
      <c r="G51" s="1" t="s">
        <v>21</v>
      </c>
      <c r="H51" s="1" t="s">
        <v>77</v>
      </c>
      <c r="I51" s="1" t="s">
        <v>30</v>
      </c>
      <c r="J51" s="9">
        <v>19</v>
      </c>
      <c r="K51" s="1" t="str">
        <f>IF(Table1[[#This Row],[AGE]]&lt;=18,"CHILD",IF(Table1[[#This Row],[AGE]]&lt;=20,"TEEN",IF(Table1[[#This Row],[AGE]]&lt;=40,"ADULT",IF(Table1[[#This Row],[AGE]]&lt;=60,"SENIOR CITIZEN","OLD CITIZEN"))))</f>
        <v>TEEN</v>
      </c>
      <c r="L51" s="1" t="s">
        <v>37</v>
      </c>
      <c r="M51" s="1" t="s">
        <v>17</v>
      </c>
      <c r="N51" s="13">
        <f>VLOOKUP(Table1[[#This Row],[TRANSACTION ID]],'Transaction ID Record'!$C$3:$D$510,2,FALSE)</f>
        <v>53010</v>
      </c>
    </row>
    <row r="52" spans="1:14" x14ac:dyDescent="0.35">
      <c r="A52" s="6" t="str">
        <f>TEXT(Table1[[#This Row],[DATE]],"MMMM")</f>
        <v>February</v>
      </c>
      <c r="B52" s="10">
        <v>44600</v>
      </c>
      <c r="C52" s="1" t="s">
        <v>187</v>
      </c>
      <c r="D52" s="1" t="str">
        <f>UPPER(Table1[[#This Row],[NAME2]])</f>
        <v>OLAYINKA HUMPHREY</v>
      </c>
      <c r="E52" s="1" t="s">
        <v>188</v>
      </c>
      <c r="F52" s="1" t="s">
        <v>189</v>
      </c>
      <c r="G52" s="1" t="s">
        <v>13</v>
      </c>
      <c r="H52" s="1" t="s">
        <v>190</v>
      </c>
      <c r="I52" s="1" t="s">
        <v>15</v>
      </c>
      <c r="J52" s="9">
        <v>60</v>
      </c>
      <c r="K52" s="1" t="str">
        <f>IF(Table1[[#This Row],[AGE]]&lt;=18,"CHILD",IF(Table1[[#This Row],[AGE]]&lt;=20,"TEEN",IF(Table1[[#This Row],[AGE]]&lt;=40,"ADULT",IF(Table1[[#This Row],[AGE]]&lt;=60,"SENIOR CITIZEN","OLD CITIZEN"))))</f>
        <v>SENIOR CITIZEN</v>
      </c>
      <c r="L52" s="1" t="s">
        <v>42</v>
      </c>
      <c r="M52" s="1" t="s">
        <v>61</v>
      </c>
      <c r="N52" s="13">
        <f>VLOOKUP(Table1[[#This Row],[TRANSACTION ID]],'Transaction ID Record'!$C$3:$D$510,2,FALSE)</f>
        <v>62268</v>
      </c>
    </row>
    <row r="53" spans="1:14" x14ac:dyDescent="0.35">
      <c r="A53" s="6" t="str">
        <f>TEXT(Table1[[#This Row],[DATE]],"MMMM")</f>
        <v>February</v>
      </c>
      <c r="B53" s="10">
        <v>44601</v>
      </c>
      <c r="C53" s="1" t="s">
        <v>191</v>
      </c>
      <c r="D53" s="1" t="str">
        <f>UPPER(Table1[[#This Row],[NAME2]])</f>
        <v>LEONARD GILBERT</v>
      </c>
      <c r="E53" s="1" t="s">
        <v>192</v>
      </c>
      <c r="F53" s="1" t="s">
        <v>813</v>
      </c>
      <c r="G53" s="1" t="s">
        <v>13</v>
      </c>
      <c r="H53" s="1" t="s">
        <v>193</v>
      </c>
      <c r="I53" s="1" t="s">
        <v>15</v>
      </c>
      <c r="J53" s="9">
        <v>40</v>
      </c>
      <c r="K53" s="1" t="str">
        <f>IF(Table1[[#This Row],[AGE]]&lt;=18,"CHILD",IF(Table1[[#This Row],[AGE]]&lt;=20,"TEEN",IF(Table1[[#This Row],[AGE]]&lt;=40,"ADULT",IF(Table1[[#This Row],[AGE]]&lt;=60,"SENIOR CITIZEN","OLD CITIZEN"))))</f>
        <v>ADULT</v>
      </c>
      <c r="L53" s="1" t="s">
        <v>31</v>
      </c>
      <c r="M53" s="1" t="s">
        <v>17</v>
      </c>
      <c r="N53" s="13">
        <f>VLOOKUP(Table1[[#This Row],[TRANSACTION ID]],'Transaction ID Record'!$C$3:$D$510,2,FALSE)</f>
        <v>96530</v>
      </c>
    </row>
    <row r="54" spans="1:14" x14ac:dyDescent="0.35">
      <c r="A54" s="6" t="str">
        <f>TEXT(Table1[[#This Row],[DATE]],"MMMM")</f>
        <v>February</v>
      </c>
      <c r="B54" s="10">
        <v>44601</v>
      </c>
      <c r="C54" s="1" t="s">
        <v>194</v>
      </c>
      <c r="D54" s="1" t="str">
        <f>UPPER(Table1[[#This Row],[NAME2]])</f>
        <v>FASINU GUZZO</v>
      </c>
      <c r="E54" s="1" t="s">
        <v>49</v>
      </c>
      <c r="F54" s="1" t="s">
        <v>50</v>
      </c>
      <c r="G54" s="1" t="s">
        <v>13</v>
      </c>
      <c r="H54" s="1" t="s">
        <v>51</v>
      </c>
      <c r="I54" s="1" t="s">
        <v>15</v>
      </c>
      <c r="J54" s="9">
        <v>61</v>
      </c>
      <c r="K54" s="1" t="str">
        <f>IF(Table1[[#This Row],[AGE]]&lt;=18,"CHILD",IF(Table1[[#This Row],[AGE]]&lt;=20,"TEEN",IF(Table1[[#This Row],[AGE]]&lt;=40,"ADULT",IF(Table1[[#This Row],[AGE]]&lt;=60,"SENIOR CITIZEN","OLD CITIZEN"))))</f>
        <v>OLD CITIZEN</v>
      </c>
      <c r="L54" s="1" t="s">
        <v>24</v>
      </c>
      <c r="M54" s="1" t="s">
        <v>47</v>
      </c>
      <c r="N54" s="13">
        <f>VLOOKUP(Table1[[#This Row],[TRANSACTION ID]],'Transaction ID Record'!$C$3:$D$510,2,FALSE)</f>
        <v>8145</v>
      </c>
    </row>
    <row r="55" spans="1:14" x14ac:dyDescent="0.35">
      <c r="A55" s="6" t="str">
        <f>TEXT(Table1[[#This Row],[DATE]],"MMMM")</f>
        <v>February</v>
      </c>
      <c r="B55" s="10">
        <v>44603</v>
      </c>
      <c r="C55" s="1" t="s">
        <v>195</v>
      </c>
      <c r="D55" s="1" t="str">
        <f>UPPER(Table1[[#This Row],[NAME2]])</f>
        <v>ADENIYI WEAVER</v>
      </c>
      <c r="E55" s="1" t="s">
        <v>196</v>
      </c>
      <c r="F55" s="1" t="s">
        <v>197</v>
      </c>
      <c r="G55" s="1" t="s">
        <v>13</v>
      </c>
      <c r="H55" s="1" t="s">
        <v>198</v>
      </c>
      <c r="I55" s="1" t="s">
        <v>30</v>
      </c>
      <c r="J55" s="9">
        <v>39</v>
      </c>
      <c r="K55" s="1" t="str">
        <f>IF(Table1[[#This Row],[AGE]]&lt;=18,"CHILD",IF(Table1[[#This Row],[AGE]]&lt;=20,"TEEN",IF(Table1[[#This Row],[AGE]]&lt;=40,"ADULT",IF(Table1[[#This Row],[AGE]]&lt;=60,"SENIOR CITIZEN","OLD CITIZEN"))))</f>
        <v>ADULT</v>
      </c>
      <c r="L55" s="1" t="s">
        <v>57</v>
      </c>
      <c r="M55" s="1" t="s">
        <v>47</v>
      </c>
      <c r="N55" s="13">
        <f>VLOOKUP(Table1[[#This Row],[TRANSACTION ID]],'Transaction ID Record'!$C$3:$D$510,2,FALSE)</f>
        <v>115777</v>
      </c>
    </row>
    <row r="56" spans="1:14" x14ac:dyDescent="0.35">
      <c r="A56" s="6" t="str">
        <f>TEXT(Table1[[#This Row],[DATE]],"MMMM")</f>
        <v>February</v>
      </c>
      <c r="B56" s="10">
        <v>44603</v>
      </c>
      <c r="C56" s="1" t="s">
        <v>199</v>
      </c>
      <c r="D56" s="1" t="str">
        <f>UPPER(Table1[[#This Row],[NAME2]])</f>
        <v>PAUL FERRIS</v>
      </c>
      <c r="E56" s="1" t="s">
        <v>200</v>
      </c>
      <c r="F56" s="1" t="s">
        <v>201</v>
      </c>
      <c r="G56" s="1" t="s">
        <v>21</v>
      </c>
      <c r="H56" s="1" t="s">
        <v>202</v>
      </c>
      <c r="I56" s="1" t="s">
        <v>23</v>
      </c>
      <c r="J56" s="9">
        <v>48</v>
      </c>
      <c r="K56" s="1" t="str">
        <f>IF(Table1[[#This Row],[AGE]]&lt;=18,"CHILD",IF(Table1[[#This Row],[AGE]]&lt;=20,"TEEN",IF(Table1[[#This Row],[AGE]]&lt;=40,"ADULT",IF(Table1[[#This Row],[AGE]]&lt;=60,"SENIOR CITIZEN","OLD CITIZEN"))))</f>
        <v>SENIOR CITIZEN</v>
      </c>
      <c r="L56" s="1" t="s">
        <v>16</v>
      </c>
      <c r="M56" s="1" t="s">
        <v>47</v>
      </c>
      <c r="N56" s="13">
        <f>VLOOKUP(Table1[[#This Row],[TRANSACTION ID]],'Transaction ID Record'!$C$3:$D$510,2,FALSE)</f>
        <v>51148</v>
      </c>
    </row>
    <row r="57" spans="1:14" x14ac:dyDescent="0.35">
      <c r="A57" s="6" t="str">
        <f>TEXT(Table1[[#This Row],[DATE]],"MMMM")</f>
        <v>February</v>
      </c>
      <c r="B57" s="10">
        <v>44603</v>
      </c>
      <c r="C57" s="1" t="s">
        <v>203</v>
      </c>
      <c r="D57" s="1" t="str">
        <f>UPPER(Table1[[#This Row],[NAME2]])</f>
        <v>BELL JUAREZ</v>
      </c>
      <c r="E57" s="1" t="s">
        <v>68</v>
      </c>
      <c r="F57" s="1" t="s">
        <v>801</v>
      </c>
      <c r="G57" s="1" t="s">
        <v>13</v>
      </c>
      <c r="H57" s="1" t="s">
        <v>69</v>
      </c>
      <c r="I57" s="1" t="s">
        <v>30</v>
      </c>
      <c r="J57" s="9">
        <v>71</v>
      </c>
      <c r="K57" s="1" t="str">
        <f>IF(Table1[[#This Row],[AGE]]&lt;=18,"CHILD",IF(Table1[[#This Row],[AGE]]&lt;=20,"TEEN",IF(Table1[[#This Row],[AGE]]&lt;=40,"ADULT",IF(Table1[[#This Row],[AGE]]&lt;=60,"SENIOR CITIZEN","OLD CITIZEN"))))</f>
        <v>OLD CITIZEN</v>
      </c>
      <c r="L57" s="1" t="s">
        <v>57</v>
      </c>
      <c r="M57" s="1" t="s">
        <v>61</v>
      </c>
      <c r="N57" s="13">
        <f>VLOOKUP(Table1[[#This Row],[TRANSACTION ID]],'Transaction ID Record'!$C$3:$D$510,2,FALSE)</f>
        <v>35661</v>
      </c>
    </row>
    <row r="58" spans="1:14" x14ac:dyDescent="0.35">
      <c r="A58" s="6" t="str">
        <f>TEXT(Table1[[#This Row],[DATE]],"MMMM")</f>
        <v>February</v>
      </c>
      <c r="B58" s="10">
        <v>44604</v>
      </c>
      <c r="C58" s="1" t="s">
        <v>204</v>
      </c>
      <c r="D58" s="1" t="str">
        <f>UPPER(Table1[[#This Row],[NAME2]])</f>
        <v>LIBERTY BARNETT</v>
      </c>
      <c r="E58" s="1" t="s">
        <v>205</v>
      </c>
      <c r="F58" s="1" t="s">
        <v>206</v>
      </c>
      <c r="G58" s="1" t="s">
        <v>13</v>
      </c>
      <c r="H58" s="1" t="s">
        <v>207</v>
      </c>
      <c r="I58" s="1" t="s">
        <v>15</v>
      </c>
      <c r="J58" s="9">
        <v>39</v>
      </c>
      <c r="K58" s="1" t="str">
        <f>IF(Table1[[#This Row],[AGE]]&lt;=18,"CHILD",IF(Table1[[#This Row],[AGE]]&lt;=20,"TEEN",IF(Table1[[#This Row],[AGE]]&lt;=40,"ADULT",IF(Table1[[#This Row],[AGE]]&lt;=60,"SENIOR CITIZEN","OLD CITIZEN"))))</f>
        <v>ADULT</v>
      </c>
      <c r="L58" s="1" t="s">
        <v>42</v>
      </c>
      <c r="M58" s="1" t="s">
        <v>47</v>
      </c>
      <c r="N58" s="13">
        <f>VLOOKUP(Table1[[#This Row],[TRANSACTION ID]],'Transaction ID Record'!$C$3:$D$510,2,FALSE)</f>
        <v>172858</v>
      </c>
    </row>
    <row r="59" spans="1:14" x14ac:dyDescent="0.35">
      <c r="A59" s="6" t="str">
        <f>TEXT(Table1[[#This Row],[DATE]],"MMMM")</f>
        <v>February</v>
      </c>
      <c r="B59" s="10">
        <v>44604</v>
      </c>
      <c r="C59" s="1" t="s">
        <v>208</v>
      </c>
      <c r="D59" s="1" t="str">
        <f>UPPER(Table1[[#This Row],[NAME2]])</f>
        <v>GEORGE CLUBBS</v>
      </c>
      <c r="E59" s="1" t="s">
        <v>209</v>
      </c>
      <c r="F59" s="1" t="s">
        <v>814</v>
      </c>
      <c r="G59" s="1" t="s">
        <v>21</v>
      </c>
      <c r="H59" s="1" t="s">
        <v>210</v>
      </c>
      <c r="I59" s="1" t="s">
        <v>23</v>
      </c>
      <c r="J59" s="9">
        <v>39</v>
      </c>
      <c r="K59" s="1" t="str">
        <f>IF(Table1[[#This Row],[AGE]]&lt;=18,"CHILD",IF(Table1[[#This Row],[AGE]]&lt;=20,"TEEN",IF(Table1[[#This Row],[AGE]]&lt;=40,"ADULT",IF(Table1[[#This Row],[AGE]]&lt;=60,"SENIOR CITIZEN","OLD CITIZEN"))))</f>
        <v>ADULT</v>
      </c>
      <c r="L59" s="1" t="s">
        <v>37</v>
      </c>
      <c r="M59" s="1" t="s">
        <v>47</v>
      </c>
      <c r="N59" s="13">
        <f>VLOOKUP(Table1[[#This Row],[TRANSACTION ID]],'Transaction ID Record'!$C$3:$D$510,2,FALSE)</f>
        <v>103392</v>
      </c>
    </row>
    <row r="60" spans="1:14" x14ac:dyDescent="0.35">
      <c r="A60" s="6" t="str">
        <f>TEXT(Table1[[#This Row],[DATE]],"MMMM")</f>
        <v>February</v>
      </c>
      <c r="B60" s="10">
        <v>44604</v>
      </c>
      <c r="C60" s="1" t="s">
        <v>211</v>
      </c>
      <c r="D60" s="1" t="str">
        <f>UPPER(Table1[[#This Row],[NAME2]])</f>
        <v>BRITTANY BEST</v>
      </c>
      <c r="E60" s="1" t="s">
        <v>54</v>
      </c>
      <c r="F60" s="1" t="s">
        <v>55</v>
      </c>
      <c r="G60" s="1" t="s">
        <v>21</v>
      </c>
      <c r="H60" s="1" t="s">
        <v>56</v>
      </c>
      <c r="I60" s="1" t="s">
        <v>23</v>
      </c>
      <c r="J60" s="9">
        <v>28</v>
      </c>
      <c r="K60" s="1" t="str">
        <f>IF(Table1[[#This Row],[AGE]]&lt;=18,"CHILD",IF(Table1[[#This Row],[AGE]]&lt;=20,"TEEN",IF(Table1[[#This Row],[AGE]]&lt;=40,"ADULT",IF(Table1[[#This Row],[AGE]]&lt;=60,"SENIOR CITIZEN","OLD CITIZEN"))))</f>
        <v>ADULT</v>
      </c>
      <c r="L60" s="1" t="s">
        <v>57</v>
      </c>
      <c r="M60" s="1" t="s">
        <v>17</v>
      </c>
      <c r="N60" s="13">
        <f>VLOOKUP(Table1[[#This Row],[TRANSACTION ID]],'Transaction ID Record'!$C$3:$D$510,2,FALSE)</f>
        <v>71971</v>
      </c>
    </row>
    <row r="61" spans="1:14" x14ac:dyDescent="0.35">
      <c r="A61" s="6" t="str">
        <f>TEXT(Table1[[#This Row],[DATE]],"MMMM")</f>
        <v>February</v>
      </c>
      <c r="B61" s="10">
        <v>44605</v>
      </c>
      <c r="C61" s="1" t="s">
        <v>212</v>
      </c>
      <c r="D61" s="1" t="str">
        <f>UPPER(Table1[[#This Row],[NAME2]])</f>
        <v>EMERSON PANOVSKY</v>
      </c>
      <c r="E61" s="1" t="s">
        <v>75</v>
      </c>
      <c r="F61" s="1" t="s">
        <v>76</v>
      </c>
      <c r="G61" s="1" t="s">
        <v>21</v>
      </c>
      <c r="H61" s="1" t="s">
        <v>77</v>
      </c>
      <c r="I61" s="1" t="s">
        <v>30</v>
      </c>
      <c r="J61" s="9">
        <v>19</v>
      </c>
      <c r="K61" s="1" t="str">
        <f>IF(Table1[[#This Row],[AGE]]&lt;=18,"CHILD",IF(Table1[[#This Row],[AGE]]&lt;=20,"TEEN",IF(Table1[[#This Row],[AGE]]&lt;=40,"ADULT",IF(Table1[[#This Row],[AGE]]&lt;=60,"SENIOR CITIZEN","OLD CITIZEN"))))</f>
        <v>TEEN</v>
      </c>
      <c r="L61" s="1" t="s">
        <v>52</v>
      </c>
      <c r="M61" s="1" t="s">
        <v>61</v>
      </c>
      <c r="N61" s="13">
        <f>VLOOKUP(Table1[[#This Row],[TRANSACTION ID]],'Transaction ID Record'!$C$3:$D$510,2,FALSE)</f>
        <v>71611</v>
      </c>
    </row>
    <row r="62" spans="1:14" x14ac:dyDescent="0.35">
      <c r="A62" s="6" t="str">
        <f>TEXT(Table1[[#This Row],[DATE]],"MMMM")</f>
        <v>February</v>
      </c>
      <c r="B62" s="10">
        <v>44605</v>
      </c>
      <c r="C62" s="1" t="s">
        <v>213</v>
      </c>
      <c r="D62" s="1" t="str">
        <f>UPPER(Table1[[#This Row],[NAME2]])</f>
        <v>NELL YANCER</v>
      </c>
      <c r="E62" s="1" t="s">
        <v>214</v>
      </c>
      <c r="F62" s="1" t="s">
        <v>215</v>
      </c>
      <c r="G62" s="1" t="s">
        <v>21</v>
      </c>
      <c r="H62" s="1" t="s">
        <v>216</v>
      </c>
      <c r="I62" s="1" t="s">
        <v>30</v>
      </c>
      <c r="J62" s="9">
        <v>29</v>
      </c>
      <c r="K62" s="1" t="str">
        <f>IF(Table1[[#This Row],[AGE]]&lt;=18,"CHILD",IF(Table1[[#This Row],[AGE]]&lt;=20,"TEEN",IF(Table1[[#This Row],[AGE]]&lt;=40,"ADULT",IF(Table1[[#This Row],[AGE]]&lt;=60,"SENIOR CITIZEN","OLD CITIZEN"))))</f>
        <v>ADULT</v>
      </c>
      <c r="L62" s="1" t="s">
        <v>31</v>
      </c>
      <c r="M62" s="1" t="s">
        <v>25</v>
      </c>
      <c r="N62" s="13">
        <f>VLOOKUP(Table1[[#This Row],[TRANSACTION ID]],'Transaction ID Record'!$C$3:$D$510,2,FALSE)</f>
        <v>27648</v>
      </c>
    </row>
    <row r="63" spans="1:14" x14ac:dyDescent="0.35">
      <c r="A63" s="6" t="str">
        <f>TEXT(Table1[[#This Row],[DATE]],"MMMM")</f>
        <v>February</v>
      </c>
      <c r="B63" s="10">
        <v>44606</v>
      </c>
      <c r="C63" s="1" t="s">
        <v>217</v>
      </c>
      <c r="D63" s="1" t="str">
        <f>UPPER(Table1[[#This Row],[NAME2]])</f>
        <v>TOYIN MICHEAL</v>
      </c>
      <c r="E63" s="1" t="s">
        <v>218</v>
      </c>
      <c r="F63" s="1" t="s">
        <v>815</v>
      </c>
      <c r="G63" s="1" t="s">
        <v>13</v>
      </c>
      <c r="H63" s="1" t="s">
        <v>219</v>
      </c>
      <c r="I63" s="1" t="s">
        <v>15</v>
      </c>
      <c r="J63" s="9">
        <v>46</v>
      </c>
      <c r="K63" s="1" t="str">
        <f>IF(Table1[[#This Row],[AGE]]&lt;=18,"CHILD",IF(Table1[[#This Row],[AGE]]&lt;=20,"TEEN",IF(Table1[[#This Row],[AGE]]&lt;=40,"ADULT",IF(Table1[[#This Row],[AGE]]&lt;=60,"SENIOR CITIZEN","OLD CITIZEN"))))</f>
        <v>SENIOR CITIZEN</v>
      </c>
      <c r="L63" s="1" t="s">
        <v>151</v>
      </c>
      <c r="M63" s="1" t="s">
        <v>61</v>
      </c>
      <c r="N63" s="13">
        <f>VLOOKUP(Table1[[#This Row],[TRANSACTION ID]],'Transaction ID Record'!$C$3:$D$510,2,FALSE)</f>
        <v>23131</v>
      </c>
    </row>
    <row r="64" spans="1:14" x14ac:dyDescent="0.35">
      <c r="A64" s="6" t="str">
        <f>TEXT(Table1[[#This Row],[DATE]],"MMMM")</f>
        <v>February</v>
      </c>
      <c r="B64" s="10">
        <v>44607</v>
      </c>
      <c r="C64" s="1" t="s">
        <v>220</v>
      </c>
      <c r="D64" s="1" t="str">
        <f>UPPER(Table1[[#This Row],[NAME2]])</f>
        <v>ADENIYI TILLMAN</v>
      </c>
      <c r="E64" s="1" t="s">
        <v>178</v>
      </c>
      <c r="F64" s="1" t="s">
        <v>179</v>
      </c>
      <c r="G64" s="1" t="s">
        <v>13</v>
      </c>
      <c r="H64" s="1" t="s">
        <v>180</v>
      </c>
      <c r="I64" s="1" t="s">
        <v>30</v>
      </c>
      <c r="J64" s="9">
        <v>63</v>
      </c>
      <c r="K64" s="1" t="str">
        <f>IF(Table1[[#This Row],[AGE]]&lt;=18,"CHILD",IF(Table1[[#This Row],[AGE]]&lt;=20,"TEEN",IF(Table1[[#This Row],[AGE]]&lt;=40,"ADULT",IF(Table1[[#This Row],[AGE]]&lt;=60,"SENIOR CITIZEN","OLD CITIZEN"))))</f>
        <v>OLD CITIZEN</v>
      </c>
      <c r="L64" s="1" t="s">
        <v>52</v>
      </c>
      <c r="M64" s="1" t="s">
        <v>17</v>
      </c>
      <c r="N64" s="13">
        <f>VLOOKUP(Table1[[#This Row],[TRANSACTION ID]],'Transaction ID Record'!$C$3:$D$510,2,FALSE)</f>
        <v>54078</v>
      </c>
    </row>
    <row r="65" spans="1:14" x14ac:dyDescent="0.35">
      <c r="A65" s="6" t="str">
        <f>TEXT(Table1[[#This Row],[DATE]],"MMMM")</f>
        <v>February</v>
      </c>
      <c r="B65" s="10">
        <v>44607</v>
      </c>
      <c r="C65" s="1" t="s">
        <v>221</v>
      </c>
      <c r="D65" s="1" t="str">
        <f>UPPER(Table1[[#This Row],[NAME2]])</f>
        <v>BAMIDELE ALEXANDER</v>
      </c>
      <c r="E65" s="1" t="s">
        <v>34</v>
      </c>
      <c r="F65" s="1" t="s">
        <v>35</v>
      </c>
      <c r="G65" s="1" t="s">
        <v>13</v>
      </c>
      <c r="H65" s="1" t="s">
        <v>36</v>
      </c>
      <c r="I65" s="1" t="s">
        <v>23</v>
      </c>
      <c r="J65" s="9">
        <v>61</v>
      </c>
      <c r="K65" s="1" t="str">
        <f>IF(Table1[[#This Row],[AGE]]&lt;=18,"CHILD",IF(Table1[[#This Row],[AGE]]&lt;=20,"TEEN",IF(Table1[[#This Row],[AGE]]&lt;=40,"ADULT",IF(Table1[[#This Row],[AGE]]&lt;=60,"SENIOR CITIZEN","OLD CITIZEN"))))</f>
        <v>OLD CITIZEN</v>
      </c>
      <c r="L65" s="1" t="s">
        <v>16</v>
      </c>
      <c r="M65" s="1" t="s">
        <v>32</v>
      </c>
      <c r="N65" s="13">
        <f>VLOOKUP(Table1[[#This Row],[TRANSACTION ID]],'Transaction ID Record'!$C$3:$D$510,2,FALSE)</f>
        <v>170796</v>
      </c>
    </row>
    <row r="66" spans="1:14" x14ac:dyDescent="0.35">
      <c r="A66" s="6" t="str">
        <f>TEXT(Table1[[#This Row],[DATE]],"MMMM")</f>
        <v>February</v>
      </c>
      <c r="B66" s="10">
        <v>44607</v>
      </c>
      <c r="C66" s="1" t="s">
        <v>222</v>
      </c>
      <c r="D66" s="1" t="str">
        <f>UPPER(Table1[[#This Row],[NAME2]])</f>
        <v>LESLY PORTER</v>
      </c>
      <c r="E66" s="1" t="s">
        <v>223</v>
      </c>
      <c r="F66" s="1" t="s">
        <v>224</v>
      </c>
      <c r="G66" s="1" t="s">
        <v>21</v>
      </c>
      <c r="H66" s="1" t="s">
        <v>225</v>
      </c>
      <c r="I66" s="1" t="s">
        <v>30</v>
      </c>
      <c r="J66" s="9">
        <v>68</v>
      </c>
      <c r="K66" s="1" t="str">
        <f>IF(Table1[[#This Row],[AGE]]&lt;=18,"CHILD",IF(Table1[[#This Row],[AGE]]&lt;=20,"TEEN",IF(Table1[[#This Row],[AGE]]&lt;=40,"ADULT",IF(Table1[[#This Row],[AGE]]&lt;=60,"SENIOR CITIZEN","OLD CITIZEN"))))</f>
        <v>OLD CITIZEN</v>
      </c>
      <c r="L66" s="1" t="s">
        <v>31</v>
      </c>
      <c r="M66" s="1" t="s">
        <v>47</v>
      </c>
      <c r="N66" s="13">
        <f>VLOOKUP(Table1[[#This Row],[TRANSACTION ID]],'Transaction ID Record'!$C$3:$D$510,2,FALSE)</f>
        <v>19963</v>
      </c>
    </row>
    <row r="67" spans="1:14" x14ac:dyDescent="0.35">
      <c r="A67" s="6" t="str">
        <f>TEXT(Table1[[#This Row],[DATE]],"MMMM")</f>
        <v>February</v>
      </c>
      <c r="B67" s="10">
        <v>44607</v>
      </c>
      <c r="C67" s="1" t="s">
        <v>226</v>
      </c>
      <c r="D67" s="1" t="str">
        <f>UPPER(Table1[[#This Row],[NAME2]])</f>
        <v>AGEMO BARNES</v>
      </c>
      <c r="E67" s="1" t="s">
        <v>111</v>
      </c>
      <c r="F67" s="1" t="s">
        <v>112</v>
      </c>
      <c r="G67" s="1" t="s">
        <v>21</v>
      </c>
      <c r="H67" s="1" t="s">
        <v>113</v>
      </c>
      <c r="I67" s="1" t="s">
        <v>23</v>
      </c>
      <c r="J67" s="9">
        <v>58</v>
      </c>
      <c r="K67" s="1" t="str">
        <f>IF(Table1[[#This Row],[AGE]]&lt;=18,"CHILD",IF(Table1[[#This Row],[AGE]]&lt;=20,"TEEN",IF(Table1[[#This Row],[AGE]]&lt;=40,"ADULT",IF(Table1[[#This Row],[AGE]]&lt;=60,"SENIOR CITIZEN","OLD CITIZEN"))))</f>
        <v>SENIOR CITIZEN</v>
      </c>
      <c r="L67" s="1" t="s">
        <v>37</v>
      </c>
      <c r="M67" s="1" t="s">
        <v>61</v>
      </c>
      <c r="N67" s="13">
        <f>VLOOKUP(Table1[[#This Row],[TRANSACTION ID]],'Transaction ID Record'!$C$3:$D$510,2,FALSE)</f>
        <v>12955</v>
      </c>
    </row>
    <row r="68" spans="1:14" x14ac:dyDescent="0.35">
      <c r="A68" s="6" t="str">
        <f>TEXT(Table1[[#This Row],[DATE]],"MMMM")</f>
        <v>February</v>
      </c>
      <c r="B68" s="10">
        <v>44607</v>
      </c>
      <c r="C68" s="1" t="s">
        <v>227</v>
      </c>
      <c r="D68" s="1" t="str">
        <f>UPPER(Table1[[#This Row],[NAME2]])</f>
        <v>BAMIDELE ALEXANDER</v>
      </c>
      <c r="E68" s="1" t="s">
        <v>34</v>
      </c>
      <c r="F68" s="1" t="s">
        <v>35</v>
      </c>
      <c r="G68" s="1" t="s">
        <v>13</v>
      </c>
      <c r="H68" s="1" t="s">
        <v>36</v>
      </c>
      <c r="I68" s="1" t="s">
        <v>23</v>
      </c>
      <c r="J68" s="9">
        <v>61</v>
      </c>
      <c r="K68" s="1" t="str">
        <f>IF(Table1[[#This Row],[AGE]]&lt;=18,"CHILD",IF(Table1[[#This Row],[AGE]]&lt;=20,"TEEN",IF(Table1[[#This Row],[AGE]]&lt;=40,"ADULT",IF(Table1[[#This Row],[AGE]]&lt;=60,"SENIOR CITIZEN","OLD CITIZEN"))))</f>
        <v>OLD CITIZEN</v>
      </c>
      <c r="L68" s="1" t="s">
        <v>167</v>
      </c>
      <c r="M68" s="1" t="s">
        <v>25</v>
      </c>
      <c r="N68" s="13">
        <f>VLOOKUP(Table1[[#This Row],[TRANSACTION ID]],'Transaction ID Record'!$C$3:$D$510,2,FALSE)</f>
        <v>84357</v>
      </c>
    </row>
    <row r="69" spans="1:14" x14ac:dyDescent="0.35">
      <c r="A69" s="6" t="str">
        <f>TEXT(Table1[[#This Row],[DATE]],"MMMM")</f>
        <v>February</v>
      </c>
      <c r="B69" s="10">
        <v>44607</v>
      </c>
      <c r="C69" s="1" t="s">
        <v>228</v>
      </c>
      <c r="D69" s="1" t="str">
        <f>UPPER(Table1[[#This Row],[NAME2]])</f>
        <v>LIBERTY BARNETT</v>
      </c>
      <c r="E69" s="1" t="s">
        <v>205</v>
      </c>
      <c r="F69" s="1" t="s">
        <v>206</v>
      </c>
      <c r="G69" s="1" t="s">
        <v>13</v>
      </c>
      <c r="H69" s="1" t="s">
        <v>207</v>
      </c>
      <c r="I69" s="1" t="s">
        <v>15</v>
      </c>
      <c r="J69" s="9">
        <v>39</v>
      </c>
      <c r="K69" s="1" t="str">
        <f>IF(Table1[[#This Row],[AGE]]&lt;=18,"CHILD",IF(Table1[[#This Row],[AGE]]&lt;=20,"TEEN",IF(Table1[[#This Row],[AGE]]&lt;=40,"ADULT",IF(Table1[[#This Row],[AGE]]&lt;=60,"SENIOR CITIZEN","OLD CITIZEN"))))</f>
        <v>ADULT</v>
      </c>
      <c r="L69" s="1" t="s">
        <v>16</v>
      </c>
      <c r="M69" s="1" t="s">
        <v>25</v>
      </c>
      <c r="N69" s="13">
        <f>VLOOKUP(Table1[[#This Row],[TRANSACTION ID]],'Transaction ID Record'!$C$3:$D$510,2,FALSE)</f>
        <v>109991</v>
      </c>
    </row>
    <row r="70" spans="1:14" x14ac:dyDescent="0.35">
      <c r="A70" s="6" t="str">
        <f>TEXT(Table1[[#This Row],[DATE]],"MMMM")</f>
        <v>February</v>
      </c>
      <c r="B70" s="10">
        <v>44607</v>
      </c>
      <c r="C70" s="1" t="s">
        <v>229</v>
      </c>
      <c r="D70" s="1" t="str">
        <f>UPPER(Table1[[#This Row],[NAME2]])</f>
        <v>LESLY PORTER</v>
      </c>
      <c r="E70" s="1" t="s">
        <v>223</v>
      </c>
      <c r="F70" s="1" t="s">
        <v>224</v>
      </c>
      <c r="G70" s="1" t="s">
        <v>21</v>
      </c>
      <c r="H70" s="1" t="s">
        <v>225</v>
      </c>
      <c r="I70" s="1" t="s">
        <v>30</v>
      </c>
      <c r="J70" s="9">
        <v>68</v>
      </c>
      <c r="K70" s="1" t="str">
        <f>IF(Table1[[#This Row],[AGE]]&lt;=18,"CHILD",IF(Table1[[#This Row],[AGE]]&lt;=20,"TEEN",IF(Table1[[#This Row],[AGE]]&lt;=40,"ADULT",IF(Table1[[#This Row],[AGE]]&lt;=60,"SENIOR CITIZEN","OLD CITIZEN"))))</f>
        <v>OLD CITIZEN</v>
      </c>
      <c r="L70" s="1" t="s">
        <v>66</v>
      </c>
      <c r="M70" s="1" t="s">
        <v>25</v>
      </c>
      <c r="N70" s="13">
        <f>VLOOKUP(Table1[[#This Row],[TRANSACTION ID]],'Transaction ID Record'!$C$3:$D$510,2,FALSE)</f>
        <v>106083</v>
      </c>
    </row>
    <row r="71" spans="1:14" x14ac:dyDescent="0.35">
      <c r="A71" s="6" t="str">
        <f>TEXT(Table1[[#This Row],[DATE]],"MMMM")</f>
        <v>February</v>
      </c>
      <c r="B71" s="10">
        <v>44608</v>
      </c>
      <c r="C71" s="1" t="s">
        <v>230</v>
      </c>
      <c r="D71" s="1" t="str">
        <f>UPPER(Table1[[#This Row],[NAME2]])</f>
        <v>JOY GARZA</v>
      </c>
      <c r="E71" s="1" t="s">
        <v>158</v>
      </c>
      <c r="F71" s="1" t="s">
        <v>159</v>
      </c>
      <c r="G71" s="1" t="s">
        <v>13</v>
      </c>
      <c r="H71" s="1" t="s">
        <v>160</v>
      </c>
      <c r="I71" s="1" t="s">
        <v>23</v>
      </c>
      <c r="J71" s="9">
        <v>60</v>
      </c>
      <c r="K71" s="1" t="str">
        <f>IF(Table1[[#This Row],[AGE]]&lt;=18,"CHILD",IF(Table1[[#This Row],[AGE]]&lt;=20,"TEEN",IF(Table1[[#This Row],[AGE]]&lt;=40,"ADULT",IF(Table1[[#This Row],[AGE]]&lt;=60,"SENIOR CITIZEN","OLD CITIZEN"))))</f>
        <v>SENIOR CITIZEN</v>
      </c>
      <c r="L71" s="1" t="s">
        <v>24</v>
      </c>
      <c r="M71" s="1" t="s">
        <v>25</v>
      </c>
      <c r="N71" s="13">
        <f>VLOOKUP(Table1[[#This Row],[TRANSACTION ID]],'Transaction ID Record'!$C$3:$D$510,2,FALSE)</f>
        <v>38608</v>
      </c>
    </row>
    <row r="72" spans="1:14" x14ac:dyDescent="0.35">
      <c r="A72" s="6" t="str">
        <f>TEXT(Table1[[#This Row],[DATE]],"MMMM")</f>
        <v>February</v>
      </c>
      <c r="B72" s="10">
        <v>44608</v>
      </c>
      <c r="C72" s="1" t="s">
        <v>231</v>
      </c>
      <c r="D72" s="1" t="str">
        <f>UPPER(Table1[[#This Row],[NAME2]])</f>
        <v>ARETHA PERKINS</v>
      </c>
      <c r="E72" s="1" t="s">
        <v>232</v>
      </c>
      <c r="F72" s="1" t="s">
        <v>816</v>
      </c>
      <c r="G72" s="1" t="s">
        <v>21</v>
      </c>
      <c r="H72" s="1" t="s">
        <v>233</v>
      </c>
      <c r="I72" s="1" t="s">
        <v>15</v>
      </c>
      <c r="J72" s="9">
        <v>23</v>
      </c>
      <c r="K72" s="1" t="str">
        <f>IF(Table1[[#This Row],[AGE]]&lt;=18,"CHILD",IF(Table1[[#This Row],[AGE]]&lt;=20,"TEEN",IF(Table1[[#This Row],[AGE]]&lt;=40,"ADULT",IF(Table1[[#This Row],[AGE]]&lt;=60,"SENIOR CITIZEN","OLD CITIZEN"))))</f>
        <v>ADULT</v>
      </c>
      <c r="L72" s="1" t="s">
        <v>37</v>
      </c>
      <c r="M72" s="1" t="s">
        <v>17</v>
      </c>
      <c r="N72" s="13">
        <f>VLOOKUP(Table1[[#This Row],[TRANSACTION ID]],'Transaction ID Record'!$C$3:$D$510,2,FALSE)</f>
        <v>82999</v>
      </c>
    </row>
    <row r="73" spans="1:14" x14ac:dyDescent="0.35">
      <c r="A73" s="6" t="str">
        <f>TEXT(Table1[[#This Row],[DATE]],"MMMM")</f>
        <v>February</v>
      </c>
      <c r="B73" s="10">
        <v>44609</v>
      </c>
      <c r="C73" s="1" t="s">
        <v>234</v>
      </c>
      <c r="D73" s="1" t="str">
        <f>UPPER(Table1[[#This Row],[NAME2]])</f>
        <v>TAOHEED PERKINS</v>
      </c>
      <c r="E73" s="1" t="s">
        <v>107</v>
      </c>
      <c r="F73" s="1" t="s">
        <v>807</v>
      </c>
      <c r="G73" s="1" t="s">
        <v>21</v>
      </c>
      <c r="H73" s="1" t="s">
        <v>108</v>
      </c>
      <c r="I73" s="1" t="s">
        <v>15</v>
      </c>
      <c r="J73" s="9">
        <v>73</v>
      </c>
      <c r="K73" s="1" t="str">
        <f>IF(Table1[[#This Row],[AGE]]&lt;=18,"CHILD",IF(Table1[[#This Row],[AGE]]&lt;=20,"TEEN",IF(Table1[[#This Row],[AGE]]&lt;=40,"ADULT",IF(Table1[[#This Row],[AGE]]&lt;=60,"SENIOR CITIZEN","OLD CITIZEN"))))</f>
        <v>OLD CITIZEN</v>
      </c>
      <c r="L73" s="1" t="s">
        <v>42</v>
      </c>
      <c r="M73" s="1" t="s">
        <v>61</v>
      </c>
      <c r="N73" s="13">
        <f>VLOOKUP(Table1[[#This Row],[TRANSACTION ID]],'Transaction ID Record'!$C$3:$D$510,2,FALSE)</f>
        <v>48353</v>
      </c>
    </row>
    <row r="74" spans="1:14" x14ac:dyDescent="0.35">
      <c r="A74" s="6" t="str">
        <f>TEXT(Table1[[#This Row],[DATE]],"MMMM")</f>
        <v>February</v>
      </c>
      <c r="B74" s="10">
        <v>44609</v>
      </c>
      <c r="C74" s="1" t="s">
        <v>235</v>
      </c>
      <c r="D74" s="1" t="str">
        <f>UPPER(Table1[[#This Row],[NAME2]])</f>
        <v>IVORY SELHORST</v>
      </c>
      <c r="E74" s="1" t="s">
        <v>71</v>
      </c>
      <c r="F74" s="1" t="s">
        <v>802</v>
      </c>
      <c r="G74" s="1" t="s">
        <v>21</v>
      </c>
      <c r="H74" s="1" t="s">
        <v>72</v>
      </c>
      <c r="I74" s="1" t="s">
        <v>23</v>
      </c>
      <c r="J74" s="9">
        <v>54</v>
      </c>
      <c r="K74" s="1" t="str">
        <f>IF(Table1[[#This Row],[AGE]]&lt;=18,"CHILD",IF(Table1[[#This Row],[AGE]]&lt;=20,"TEEN",IF(Table1[[#This Row],[AGE]]&lt;=40,"ADULT",IF(Table1[[#This Row],[AGE]]&lt;=60,"SENIOR CITIZEN","OLD CITIZEN"))))</f>
        <v>SENIOR CITIZEN</v>
      </c>
      <c r="L74" s="1" t="s">
        <v>42</v>
      </c>
      <c r="M74" s="1" t="s">
        <v>17</v>
      </c>
      <c r="N74" s="13">
        <f>VLOOKUP(Table1[[#This Row],[TRANSACTION ID]],'Transaction ID Record'!$C$3:$D$510,2,FALSE)</f>
        <v>157990</v>
      </c>
    </row>
    <row r="75" spans="1:14" x14ac:dyDescent="0.35">
      <c r="A75" s="6" t="str">
        <f>TEXT(Table1[[#This Row],[DATE]],"MMMM")</f>
        <v>February</v>
      </c>
      <c r="B75" s="10">
        <v>44610</v>
      </c>
      <c r="C75" s="1" t="s">
        <v>236</v>
      </c>
      <c r="D75" s="1" t="str">
        <f>UPPER(Table1[[#This Row],[NAME2]])</f>
        <v>BRITTANY BEST</v>
      </c>
      <c r="E75" s="1" t="s">
        <v>54</v>
      </c>
      <c r="F75" s="1" t="s">
        <v>55</v>
      </c>
      <c r="G75" s="1" t="s">
        <v>21</v>
      </c>
      <c r="H75" s="1" t="s">
        <v>56</v>
      </c>
      <c r="I75" s="1" t="s">
        <v>23</v>
      </c>
      <c r="J75" s="9">
        <v>28</v>
      </c>
      <c r="K75" s="1" t="str">
        <f>IF(Table1[[#This Row],[AGE]]&lt;=18,"CHILD",IF(Table1[[#This Row],[AGE]]&lt;=20,"TEEN",IF(Table1[[#This Row],[AGE]]&lt;=40,"ADULT",IF(Table1[[#This Row],[AGE]]&lt;=60,"SENIOR CITIZEN","OLD CITIZEN"))))</f>
        <v>ADULT</v>
      </c>
      <c r="L75" s="1" t="s">
        <v>16</v>
      </c>
      <c r="M75" s="1" t="s">
        <v>25</v>
      </c>
      <c r="N75" s="13">
        <f>VLOOKUP(Table1[[#This Row],[TRANSACTION ID]],'Transaction ID Record'!$C$3:$D$510,2,FALSE)</f>
        <v>125429</v>
      </c>
    </row>
    <row r="76" spans="1:14" x14ac:dyDescent="0.35">
      <c r="A76" s="6" t="str">
        <f>TEXT(Table1[[#This Row],[DATE]],"MMMM")</f>
        <v>February</v>
      </c>
      <c r="B76" s="10">
        <v>44610</v>
      </c>
      <c r="C76" s="1" t="s">
        <v>237</v>
      </c>
      <c r="D76" s="1" t="str">
        <f>UPPER(Table1[[#This Row],[NAME2]])</f>
        <v>EMERSON PANOVSKY</v>
      </c>
      <c r="E76" s="1" t="s">
        <v>75</v>
      </c>
      <c r="F76" s="1" t="s">
        <v>76</v>
      </c>
      <c r="G76" s="1" t="s">
        <v>21</v>
      </c>
      <c r="H76" s="1" t="s">
        <v>77</v>
      </c>
      <c r="I76" s="1" t="s">
        <v>30</v>
      </c>
      <c r="J76" s="9">
        <v>19</v>
      </c>
      <c r="K76" s="1" t="str">
        <f>IF(Table1[[#This Row],[AGE]]&lt;=18,"CHILD",IF(Table1[[#This Row],[AGE]]&lt;=20,"TEEN",IF(Table1[[#This Row],[AGE]]&lt;=40,"ADULT",IF(Table1[[#This Row],[AGE]]&lt;=60,"SENIOR CITIZEN","OLD CITIZEN"))))</f>
        <v>TEEN</v>
      </c>
      <c r="L76" s="1" t="s">
        <v>66</v>
      </c>
      <c r="M76" s="1" t="s">
        <v>25</v>
      </c>
      <c r="N76" s="13">
        <f>VLOOKUP(Table1[[#This Row],[TRANSACTION ID]],'Transaction ID Record'!$C$3:$D$510,2,FALSE)</f>
        <v>80306</v>
      </c>
    </row>
    <row r="77" spans="1:14" x14ac:dyDescent="0.35">
      <c r="A77" s="6" t="str">
        <f>TEXT(Table1[[#This Row],[DATE]],"MMMM")</f>
        <v>February</v>
      </c>
      <c r="B77" s="10">
        <v>44611</v>
      </c>
      <c r="C77" s="1" t="s">
        <v>238</v>
      </c>
      <c r="D77" s="1" t="str">
        <f>UPPER(Table1[[#This Row],[NAME2]])</f>
        <v>LESLY PORTER</v>
      </c>
      <c r="E77" s="1" t="s">
        <v>223</v>
      </c>
      <c r="F77" s="1" t="s">
        <v>224</v>
      </c>
      <c r="G77" s="1" t="s">
        <v>21</v>
      </c>
      <c r="H77" s="1" t="s">
        <v>225</v>
      </c>
      <c r="I77" s="1" t="s">
        <v>30</v>
      </c>
      <c r="J77" s="9">
        <v>68</v>
      </c>
      <c r="K77" s="1" t="str">
        <f>IF(Table1[[#This Row],[AGE]]&lt;=18,"CHILD",IF(Table1[[#This Row],[AGE]]&lt;=20,"TEEN",IF(Table1[[#This Row],[AGE]]&lt;=40,"ADULT",IF(Table1[[#This Row],[AGE]]&lt;=60,"SENIOR CITIZEN","OLD CITIZEN"))))</f>
        <v>OLD CITIZEN</v>
      </c>
      <c r="L77" s="1" t="s">
        <v>66</v>
      </c>
      <c r="M77" s="1" t="s">
        <v>61</v>
      </c>
      <c r="N77" s="13">
        <f>VLOOKUP(Table1[[#This Row],[TRANSACTION ID]],'Transaction ID Record'!$C$3:$D$510,2,FALSE)</f>
        <v>123772</v>
      </c>
    </row>
    <row r="78" spans="1:14" x14ac:dyDescent="0.35">
      <c r="A78" s="6" t="str">
        <f>TEXT(Table1[[#This Row],[DATE]],"MMMM")</f>
        <v>February</v>
      </c>
      <c r="B78" s="10">
        <v>44611</v>
      </c>
      <c r="C78" s="1" t="s">
        <v>239</v>
      </c>
      <c r="D78" s="1" t="str">
        <f>UPPER(Table1[[#This Row],[NAME2]])</f>
        <v>LANI KEY</v>
      </c>
      <c r="E78" s="1" t="s">
        <v>92</v>
      </c>
      <c r="F78" s="1" t="s">
        <v>804</v>
      </c>
      <c r="G78" s="1" t="s">
        <v>21</v>
      </c>
      <c r="H78" s="1" t="s">
        <v>93</v>
      </c>
      <c r="I78" s="1" t="s">
        <v>23</v>
      </c>
      <c r="J78" s="9">
        <v>31</v>
      </c>
      <c r="K78" s="1" t="str">
        <f>IF(Table1[[#This Row],[AGE]]&lt;=18,"CHILD",IF(Table1[[#This Row],[AGE]]&lt;=20,"TEEN",IF(Table1[[#This Row],[AGE]]&lt;=40,"ADULT",IF(Table1[[#This Row],[AGE]]&lt;=60,"SENIOR CITIZEN","OLD CITIZEN"))))</f>
        <v>ADULT</v>
      </c>
      <c r="L78" s="1" t="s">
        <v>42</v>
      </c>
      <c r="M78" s="1" t="s">
        <v>47</v>
      </c>
      <c r="N78" s="13">
        <f>VLOOKUP(Table1[[#This Row],[TRANSACTION ID]],'Transaction ID Record'!$C$3:$D$510,2,FALSE)</f>
        <v>137692</v>
      </c>
    </row>
    <row r="79" spans="1:14" x14ac:dyDescent="0.35">
      <c r="A79" s="6" t="str">
        <f>TEXT(Table1[[#This Row],[DATE]],"MMMM")</f>
        <v>February</v>
      </c>
      <c r="B79" s="10">
        <v>44612</v>
      </c>
      <c r="C79" s="1" t="s">
        <v>240</v>
      </c>
      <c r="D79" s="1" t="str">
        <f>UPPER(Table1[[#This Row],[NAME2]])</f>
        <v>JELANI MCKINNEY</v>
      </c>
      <c r="E79" s="1" t="s">
        <v>241</v>
      </c>
      <c r="F79" s="1" t="s">
        <v>817</v>
      </c>
      <c r="G79" s="1" t="s">
        <v>21</v>
      </c>
      <c r="H79" s="1" t="s">
        <v>242</v>
      </c>
      <c r="I79" s="1" t="s">
        <v>30</v>
      </c>
      <c r="J79" s="9">
        <v>31</v>
      </c>
      <c r="K79" s="1" t="str">
        <f>IF(Table1[[#This Row],[AGE]]&lt;=18,"CHILD",IF(Table1[[#This Row],[AGE]]&lt;=20,"TEEN",IF(Table1[[#This Row],[AGE]]&lt;=40,"ADULT",IF(Table1[[#This Row],[AGE]]&lt;=60,"SENIOR CITIZEN","OLD CITIZEN"))))</f>
        <v>ADULT</v>
      </c>
      <c r="L79" s="1" t="s">
        <v>31</v>
      </c>
      <c r="M79" s="1" t="s">
        <v>25</v>
      </c>
      <c r="N79" s="13">
        <f>VLOOKUP(Table1[[#This Row],[TRANSACTION ID]],'Transaction ID Record'!$C$3:$D$510,2,FALSE)</f>
        <v>17398</v>
      </c>
    </row>
    <row r="80" spans="1:14" x14ac:dyDescent="0.35">
      <c r="A80" s="6" t="str">
        <f>TEXT(Table1[[#This Row],[DATE]],"MMMM")</f>
        <v>February</v>
      </c>
      <c r="B80" s="10">
        <v>44613</v>
      </c>
      <c r="C80" s="1" t="s">
        <v>243</v>
      </c>
      <c r="D80" s="1" t="str">
        <f>UPPER(Table1[[#This Row],[NAME2]])</f>
        <v>ADEBOLA SOLIS</v>
      </c>
      <c r="E80" s="1" t="s">
        <v>244</v>
      </c>
      <c r="F80" s="1" t="s">
        <v>245</v>
      </c>
      <c r="G80" s="1" t="s">
        <v>21</v>
      </c>
      <c r="H80" s="1" t="s">
        <v>246</v>
      </c>
      <c r="I80" s="1" t="s">
        <v>15</v>
      </c>
      <c r="J80" s="9">
        <v>29</v>
      </c>
      <c r="K80" s="1" t="str">
        <f>IF(Table1[[#This Row],[AGE]]&lt;=18,"CHILD",IF(Table1[[#This Row],[AGE]]&lt;=20,"TEEN",IF(Table1[[#This Row],[AGE]]&lt;=40,"ADULT",IF(Table1[[#This Row],[AGE]]&lt;=60,"SENIOR CITIZEN","OLD CITIZEN"))))</f>
        <v>ADULT</v>
      </c>
      <c r="L80" s="1" t="s">
        <v>151</v>
      </c>
      <c r="M80" s="1" t="s">
        <v>47</v>
      </c>
      <c r="N80" s="13">
        <f>VLOOKUP(Table1[[#This Row],[TRANSACTION ID]],'Transaction ID Record'!$C$3:$D$510,2,FALSE)</f>
        <v>123808</v>
      </c>
    </row>
    <row r="81" spans="1:14" x14ac:dyDescent="0.35">
      <c r="A81" s="6" t="str">
        <f>TEXT(Table1[[#This Row],[DATE]],"MMMM")</f>
        <v>February</v>
      </c>
      <c r="B81" s="10">
        <v>44614</v>
      </c>
      <c r="C81" s="1" t="s">
        <v>247</v>
      </c>
      <c r="D81" s="1" t="str">
        <f>UPPER(Table1[[#This Row],[NAME2]])</f>
        <v>LATIFAH OGBONNA</v>
      </c>
      <c r="E81" s="1" t="s">
        <v>145</v>
      </c>
      <c r="F81" s="1" t="s">
        <v>146</v>
      </c>
      <c r="G81" s="1" t="s">
        <v>13</v>
      </c>
      <c r="H81" s="1" t="s">
        <v>147</v>
      </c>
      <c r="I81" s="1" t="s">
        <v>23</v>
      </c>
      <c r="J81" s="9">
        <v>46</v>
      </c>
      <c r="K81" s="1" t="str">
        <f>IF(Table1[[#This Row],[AGE]]&lt;=18,"CHILD",IF(Table1[[#This Row],[AGE]]&lt;=20,"TEEN",IF(Table1[[#This Row],[AGE]]&lt;=40,"ADULT",IF(Table1[[#This Row],[AGE]]&lt;=60,"SENIOR CITIZEN","OLD CITIZEN"))))</f>
        <v>SENIOR CITIZEN</v>
      </c>
      <c r="L81" s="1" t="s">
        <v>37</v>
      </c>
      <c r="M81" s="1" t="s">
        <v>25</v>
      </c>
      <c r="N81" s="13">
        <f>VLOOKUP(Table1[[#This Row],[TRANSACTION ID]],'Transaction ID Record'!$C$3:$D$510,2,FALSE)</f>
        <v>155660</v>
      </c>
    </row>
    <row r="82" spans="1:14" x14ac:dyDescent="0.35">
      <c r="A82" s="6" t="str">
        <f>TEXT(Table1[[#This Row],[DATE]],"MMMM")</f>
        <v>February</v>
      </c>
      <c r="B82" s="10">
        <v>44614</v>
      </c>
      <c r="C82" s="1" t="s">
        <v>248</v>
      </c>
      <c r="D82" s="1" t="str">
        <f>UPPER(Table1[[#This Row],[NAME2]])</f>
        <v>ODUMOSU DUKE</v>
      </c>
      <c r="E82" s="1" t="s">
        <v>59</v>
      </c>
      <c r="F82" s="1" t="s">
        <v>800</v>
      </c>
      <c r="G82" s="1" t="s">
        <v>13</v>
      </c>
      <c r="H82" s="1" t="s">
        <v>60</v>
      </c>
      <c r="I82" s="1" t="s">
        <v>15</v>
      </c>
      <c r="J82" s="9">
        <v>48</v>
      </c>
      <c r="K82" s="1" t="str">
        <f>IF(Table1[[#This Row],[AGE]]&lt;=18,"CHILD",IF(Table1[[#This Row],[AGE]]&lt;=20,"TEEN",IF(Table1[[#This Row],[AGE]]&lt;=40,"ADULT",IF(Table1[[#This Row],[AGE]]&lt;=60,"SENIOR CITIZEN","OLD CITIZEN"))))</f>
        <v>SENIOR CITIZEN</v>
      </c>
      <c r="L82" s="1" t="s">
        <v>57</v>
      </c>
      <c r="M82" s="1" t="s">
        <v>32</v>
      </c>
      <c r="N82" s="13">
        <f>VLOOKUP(Table1[[#This Row],[TRANSACTION ID]],'Transaction ID Record'!$C$3:$D$510,2,FALSE)</f>
        <v>77538</v>
      </c>
    </row>
    <row r="83" spans="1:14" x14ac:dyDescent="0.35">
      <c r="A83" s="6" t="str">
        <f>TEXT(Table1[[#This Row],[DATE]],"MMMM")</f>
        <v>February</v>
      </c>
      <c r="B83" s="10">
        <v>44614</v>
      </c>
      <c r="C83" s="1" t="s">
        <v>249</v>
      </c>
      <c r="D83" s="1" t="str">
        <f>UPPER(Table1[[#This Row],[NAME2]])</f>
        <v>KEATON JIMENEZ</v>
      </c>
      <c r="E83" s="1" t="s">
        <v>250</v>
      </c>
      <c r="F83" s="1" t="s">
        <v>251</v>
      </c>
      <c r="G83" s="1" t="s">
        <v>21</v>
      </c>
      <c r="H83" s="1" t="s">
        <v>252</v>
      </c>
      <c r="I83" s="1" t="s">
        <v>15</v>
      </c>
      <c r="J83" s="9">
        <v>35</v>
      </c>
      <c r="K83" s="1" t="str">
        <f>IF(Table1[[#This Row],[AGE]]&lt;=18,"CHILD",IF(Table1[[#This Row],[AGE]]&lt;=20,"TEEN",IF(Table1[[#This Row],[AGE]]&lt;=40,"ADULT",IF(Table1[[#This Row],[AGE]]&lt;=60,"SENIOR CITIZEN","OLD CITIZEN"))))</f>
        <v>ADULT</v>
      </c>
      <c r="L83" s="1" t="s">
        <v>151</v>
      </c>
      <c r="M83" s="1" t="s">
        <v>17</v>
      </c>
      <c r="N83" s="13">
        <f>VLOOKUP(Table1[[#This Row],[TRANSACTION ID]],'Transaction ID Record'!$C$3:$D$510,2,FALSE)</f>
        <v>183858</v>
      </c>
    </row>
    <row r="84" spans="1:14" x14ac:dyDescent="0.35">
      <c r="A84" s="6" t="str">
        <f>TEXT(Table1[[#This Row],[DATE]],"MMMM")</f>
        <v>February</v>
      </c>
      <c r="B84" s="10">
        <v>44614</v>
      </c>
      <c r="C84" s="1" t="s">
        <v>253</v>
      </c>
      <c r="D84" s="1" t="str">
        <f>UPPER(Table1[[#This Row],[NAME2]])</f>
        <v>EMERSON PANOVSKY</v>
      </c>
      <c r="E84" s="1" t="s">
        <v>75</v>
      </c>
      <c r="F84" s="1" t="s">
        <v>76</v>
      </c>
      <c r="G84" s="1" t="s">
        <v>21</v>
      </c>
      <c r="H84" s="1" t="s">
        <v>77</v>
      </c>
      <c r="I84" s="1" t="s">
        <v>30</v>
      </c>
      <c r="J84" s="9">
        <v>19</v>
      </c>
      <c r="K84" s="1" t="str">
        <f>IF(Table1[[#This Row],[AGE]]&lt;=18,"CHILD",IF(Table1[[#This Row],[AGE]]&lt;=20,"TEEN",IF(Table1[[#This Row],[AGE]]&lt;=40,"ADULT",IF(Table1[[#This Row],[AGE]]&lt;=60,"SENIOR CITIZEN","OLD CITIZEN"))))</f>
        <v>TEEN</v>
      </c>
      <c r="L84" s="1" t="s">
        <v>52</v>
      </c>
      <c r="M84" s="1" t="s">
        <v>25</v>
      </c>
      <c r="N84" s="13">
        <f>VLOOKUP(Table1[[#This Row],[TRANSACTION ID]],'Transaction ID Record'!$C$3:$D$510,2,FALSE)</f>
        <v>138026</v>
      </c>
    </row>
    <row r="85" spans="1:14" x14ac:dyDescent="0.35">
      <c r="A85" s="6" t="str">
        <f>TEXT(Table1[[#This Row],[DATE]],"MMMM")</f>
        <v>February</v>
      </c>
      <c r="B85" s="10">
        <v>44617</v>
      </c>
      <c r="C85" s="1" t="s">
        <v>254</v>
      </c>
      <c r="D85" s="1" t="str">
        <f>UPPER(Table1[[#This Row],[NAME2]])</f>
        <v>EHINDERO MATT</v>
      </c>
      <c r="E85" s="1" t="s">
        <v>255</v>
      </c>
      <c r="F85" s="1" t="s">
        <v>256</v>
      </c>
      <c r="G85" s="1" t="s">
        <v>13</v>
      </c>
      <c r="H85" s="1" t="s">
        <v>257</v>
      </c>
      <c r="I85" s="1" t="s">
        <v>15</v>
      </c>
      <c r="J85" s="9">
        <v>19</v>
      </c>
      <c r="K85" s="1" t="str">
        <f>IF(Table1[[#This Row],[AGE]]&lt;=18,"CHILD",IF(Table1[[#This Row],[AGE]]&lt;=20,"TEEN",IF(Table1[[#This Row],[AGE]]&lt;=40,"ADULT",IF(Table1[[#This Row],[AGE]]&lt;=60,"SENIOR CITIZEN","OLD CITIZEN"))))</f>
        <v>TEEN</v>
      </c>
      <c r="L85" s="1" t="s">
        <v>24</v>
      </c>
      <c r="M85" s="1" t="s">
        <v>61</v>
      </c>
      <c r="N85" s="13">
        <f>VLOOKUP(Table1[[#This Row],[TRANSACTION ID]],'Transaction ID Record'!$C$3:$D$510,2,FALSE)</f>
        <v>74941</v>
      </c>
    </row>
    <row r="86" spans="1:14" x14ac:dyDescent="0.35">
      <c r="A86" s="6" t="str">
        <f>TEXT(Table1[[#This Row],[DATE]],"MMMM")</f>
        <v>February</v>
      </c>
      <c r="B86" s="10">
        <v>44617</v>
      </c>
      <c r="C86" s="1" t="s">
        <v>258</v>
      </c>
      <c r="D86" s="1" t="str">
        <f>UPPER(Table1[[#This Row],[NAME2]])</f>
        <v>OLUDAISI JOHNSON</v>
      </c>
      <c r="E86" s="1" t="s">
        <v>259</v>
      </c>
      <c r="F86" s="1" t="s">
        <v>818</v>
      </c>
      <c r="G86" s="1" t="s">
        <v>21</v>
      </c>
      <c r="H86" s="1" t="s">
        <v>260</v>
      </c>
      <c r="I86" s="1" t="s">
        <v>30</v>
      </c>
      <c r="J86" s="9">
        <v>45</v>
      </c>
      <c r="K86" s="1" t="str">
        <f>IF(Table1[[#This Row],[AGE]]&lt;=18,"CHILD",IF(Table1[[#This Row],[AGE]]&lt;=20,"TEEN",IF(Table1[[#This Row],[AGE]]&lt;=40,"ADULT",IF(Table1[[#This Row],[AGE]]&lt;=60,"SENIOR CITIZEN","OLD CITIZEN"))))</f>
        <v>SENIOR CITIZEN</v>
      </c>
      <c r="L86" s="1" t="s">
        <v>31</v>
      </c>
      <c r="M86" s="1" t="s">
        <v>25</v>
      </c>
      <c r="N86" s="13">
        <f>VLOOKUP(Table1[[#This Row],[TRANSACTION ID]],'Transaction ID Record'!$C$3:$D$510,2,FALSE)</f>
        <v>158871</v>
      </c>
    </row>
    <row r="87" spans="1:14" x14ac:dyDescent="0.35">
      <c r="A87" s="6" t="str">
        <f>TEXT(Table1[[#This Row],[DATE]],"MMMM")</f>
        <v>February</v>
      </c>
      <c r="B87" s="10">
        <v>44618</v>
      </c>
      <c r="C87" s="1" t="s">
        <v>261</v>
      </c>
      <c r="D87" s="1" t="str">
        <f>UPPER(Table1[[#This Row],[NAME2]])</f>
        <v>PETER ADAMS</v>
      </c>
      <c r="E87" s="1" t="s">
        <v>162</v>
      </c>
      <c r="F87" s="1" t="s">
        <v>811</v>
      </c>
      <c r="G87" s="1" t="s">
        <v>13</v>
      </c>
      <c r="H87" s="1" t="s">
        <v>163</v>
      </c>
      <c r="I87" s="1" t="s">
        <v>15</v>
      </c>
      <c r="J87" s="9">
        <v>64</v>
      </c>
      <c r="K87" s="1" t="str">
        <f>IF(Table1[[#This Row],[AGE]]&lt;=18,"CHILD",IF(Table1[[#This Row],[AGE]]&lt;=20,"TEEN",IF(Table1[[#This Row],[AGE]]&lt;=40,"ADULT",IF(Table1[[#This Row],[AGE]]&lt;=60,"SENIOR CITIZEN","OLD CITIZEN"))))</f>
        <v>OLD CITIZEN</v>
      </c>
      <c r="L87" s="1" t="s">
        <v>167</v>
      </c>
      <c r="M87" s="1" t="s">
        <v>25</v>
      </c>
      <c r="N87" s="13">
        <f>VLOOKUP(Table1[[#This Row],[TRANSACTION ID]],'Transaction ID Record'!$C$3:$D$510,2,FALSE)</f>
        <v>44365</v>
      </c>
    </row>
    <row r="88" spans="1:14" x14ac:dyDescent="0.35">
      <c r="A88" s="6" t="str">
        <f>TEXT(Table1[[#This Row],[DATE]],"MMMM")</f>
        <v>February</v>
      </c>
      <c r="B88" s="10">
        <v>44618</v>
      </c>
      <c r="C88" s="1" t="s">
        <v>262</v>
      </c>
      <c r="D88" s="1" t="str">
        <f>UPPER(Table1[[#This Row],[NAME2]])</f>
        <v>ADEBOLA SOLIS</v>
      </c>
      <c r="E88" s="1" t="s">
        <v>244</v>
      </c>
      <c r="F88" s="1" t="s">
        <v>245</v>
      </c>
      <c r="G88" s="1" t="s">
        <v>21</v>
      </c>
      <c r="H88" s="1" t="s">
        <v>246</v>
      </c>
      <c r="I88" s="1" t="s">
        <v>15</v>
      </c>
      <c r="J88" s="9">
        <v>29</v>
      </c>
      <c r="K88" s="1" t="str">
        <f>IF(Table1[[#This Row],[AGE]]&lt;=18,"CHILD",IF(Table1[[#This Row],[AGE]]&lt;=20,"TEEN",IF(Table1[[#This Row],[AGE]]&lt;=40,"ADULT",IF(Table1[[#This Row],[AGE]]&lt;=60,"SENIOR CITIZEN","OLD CITIZEN"))))</f>
        <v>ADULT</v>
      </c>
      <c r="L88" s="1" t="s">
        <v>52</v>
      </c>
      <c r="M88" s="1" t="s">
        <v>25</v>
      </c>
      <c r="N88" s="13">
        <f>VLOOKUP(Table1[[#This Row],[TRANSACTION ID]],'Transaction ID Record'!$C$3:$D$510,2,FALSE)</f>
        <v>150610</v>
      </c>
    </row>
    <row r="89" spans="1:14" x14ac:dyDescent="0.35">
      <c r="A89" s="6" t="str">
        <f>TEXT(Table1[[#This Row],[DATE]],"MMMM")</f>
        <v>February</v>
      </c>
      <c r="B89" s="10">
        <v>44618</v>
      </c>
      <c r="C89" s="1" t="s">
        <v>263</v>
      </c>
      <c r="D89" s="1" t="str">
        <f>UPPER(Table1[[#This Row],[NAME2]])</f>
        <v>TAOHEED PERKINS</v>
      </c>
      <c r="E89" s="1" t="s">
        <v>107</v>
      </c>
      <c r="F89" s="1" t="s">
        <v>807</v>
      </c>
      <c r="G89" s="1" t="s">
        <v>21</v>
      </c>
      <c r="H89" s="1" t="s">
        <v>108</v>
      </c>
      <c r="I89" s="1" t="s">
        <v>15</v>
      </c>
      <c r="J89" s="9">
        <v>73</v>
      </c>
      <c r="K89" s="1" t="str">
        <f>IF(Table1[[#This Row],[AGE]]&lt;=18,"CHILD",IF(Table1[[#This Row],[AGE]]&lt;=20,"TEEN",IF(Table1[[#This Row],[AGE]]&lt;=40,"ADULT",IF(Table1[[#This Row],[AGE]]&lt;=60,"SENIOR CITIZEN","OLD CITIZEN"))))</f>
        <v>OLD CITIZEN</v>
      </c>
      <c r="L89" s="1" t="s">
        <v>52</v>
      </c>
      <c r="M89" s="1" t="s">
        <v>17</v>
      </c>
      <c r="N89" s="13">
        <f>VLOOKUP(Table1[[#This Row],[TRANSACTION ID]],'Transaction ID Record'!$C$3:$D$510,2,FALSE)</f>
        <v>111299</v>
      </c>
    </row>
    <row r="90" spans="1:14" x14ac:dyDescent="0.35">
      <c r="A90" s="6" t="str">
        <f>TEXT(Table1[[#This Row],[DATE]],"MMMM")</f>
        <v>February</v>
      </c>
      <c r="B90" s="10">
        <v>44620</v>
      </c>
      <c r="C90" s="1" t="s">
        <v>264</v>
      </c>
      <c r="D90" s="1" t="str">
        <f>UPPER(Table1[[#This Row],[NAME2]])</f>
        <v>CYRUS SMITH</v>
      </c>
      <c r="E90" s="1" t="s">
        <v>265</v>
      </c>
      <c r="F90" s="1" t="s">
        <v>266</v>
      </c>
      <c r="G90" s="1" t="s">
        <v>13</v>
      </c>
      <c r="H90" s="1" t="s">
        <v>267</v>
      </c>
      <c r="I90" s="1" t="s">
        <v>15</v>
      </c>
      <c r="J90" s="9">
        <v>72</v>
      </c>
      <c r="K90" s="1" t="str">
        <f>IF(Table1[[#This Row],[AGE]]&lt;=18,"CHILD",IF(Table1[[#This Row],[AGE]]&lt;=20,"TEEN",IF(Table1[[#This Row],[AGE]]&lt;=40,"ADULT",IF(Table1[[#This Row],[AGE]]&lt;=60,"SENIOR CITIZEN","OLD CITIZEN"))))</f>
        <v>OLD CITIZEN</v>
      </c>
      <c r="L90" s="1" t="s">
        <v>52</v>
      </c>
      <c r="M90" s="1" t="s">
        <v>32</v>
      </c>
      <c r="N90" s="13">
        <f>VLOOKUP(Table1[[#This Row],[TRANSACTION ID]],'Transaction ID Record'!$C$3:$D$510,2,FALSE)</f>
        <v>81396</v>
      </c>
    </row>
    <row r="91" spans="1:14" x14ac:dyDescent="0.35">
      <c r="A91" s="6" t="str">
        <f>TEXT(Table1[[#This Row],[DATE]],"MMMM")</f>
        <v>March</v>
      </c>
      <c r="B91" s="10">
        <v>44621</v>
      </c>
      <c r="C91" s="1" t="s">
        <v>268</v>
      </c>
      <c r="D91" s="1" t="str">
        <f>UPPER(Table1[[#This Row],[NAME2]])</f>
        <v>AYO EZICHI</v>
      </c>
      <c r="E91" s="1" t="s">
        <v>269</v>
      </c>
      <c r="F91" s="1" t="s">
        <v>819</v>
      </c>
      <c r="G91" s="1" t="s">
        <v>13</v>
      </c>
      <c r="H91" s="1" t="s">
        <v>270</v>
      </c>
      <c r="I91" s="1" t="s">
        <v>15</v>
      </c>
      <c r="J91" s="9">
        <v>40</v>
      </c>
      <c r="K91" s="1" t="str">
        <f>IF(Table1[[#This Row],[AGE]]&lt;=18,"CHILD",IF(Table1[[#This Row],[AGE]]&lt;=20,"TEEN",IF(Table1[[#This Row],[AGE]]&lt;=40,"ADULT",IF(Table1[[#This Row],[AGE]]&lt;=60,"SENIOR CITIZEN","OLD CITIZEN"))))</f>
        <v>ADULT</v>
      </c>
      <c r="L91" s="1" t="s">
        <v>151</v>
      </c>
      <c r="M91" s="1" t="s">
        <v>61</v>
      </c>
      <c r="N91" s="13">
        <f>VLOOKUP(Table1[[#This Row],[TRANSACTION ID]],'Transaction ID Record'!$C$3:$D$510,2,FALSE)</f>
        <v>110170</v>
      </c>
    </row>
    <row r="92" spans="1:14" x14ac:dyDescent="0.35">
      <c r="A92" s="6" t="str">
        <f>TEXT(Table1[[#This Row],[DATE]],"MMMM")</f>
        <v>March</v>
      </c>
      <c r="B92" s="10">
        <v>44623</v>
      </c>
      <c r="C92" s="1" t="s">
        <v>271</v>
      </c>
      <c r="D92" s="1" t="str">
        <f>UPPER(Table1[[#This Row],[NAME2]])</f>
        <v>AYO VANG</v>
      </c>
      <c r="E92" s="1" t="s">
        <v>272</v>
      </c>
      <c r="F92" s="1" t="s">
        <v>820</v>
      </c>
      <c r="G92" s="1" t="s">
        <v>13</v>
      </c>
      <c r="H92" s="1" t="s">
        <v>273</v>
      </c>
      <c r="I92" s="1" t="s">
        <v>15</v>
      </c>
      <c r="J92" s="9">
        <v>44</v>
      </c>
      <c r="K92" s="1" t="str">
        <f>IF(Table1[[#This Row],[AGE]]&lt;=18,"CHILD",IF(Table1[[#This Row],[AGE]]&lt;=20,"TEEN",IF(Table1[[#This Row],[AGE]]&lt;=40,"ADULT",IF(Table1[[#This Row],[AGE]]&lt;=60,"SENIOR CITIZEN","OLD CITIZEN"))))</f>
        <v>SENIOR CITIZEN</v>
      </c>
      <c r="L92" s="1" t="s">
        <v>37</v>
      </c>
      <c r="M92" s="1" t="s">
        <v>25</v>
      </c>
      <c r="N92" s="13">
        <f>VLOOKUP(Table1[[#This Row],[TRANSACTION ID]],'Transaction ID Record'!$C$3:$D$510,2,FALSE)</f>
        <v>49648</v>
      </c>
    </row>
    <row r="93" spans="1:14" x14ac:dyDescent="0.35">
      <c r="A93" s="6" t="str">
        <f>TEXT(Table1[[#This Row],[DATE]],"MMMM")</f>
        <v>March</v>
      </c>
      <c r="B93" s="10">
        <v>44623</v>
      </c>
      <c r="C93" s="1" t="s">
        <v>274</v>
      </c>
      <c r="D93" s="1" t="str">
        <f>UPPER(Table1[[#This Row],[NAME2]])</f>
        <v>NOEL MACK</v>
      </c>
      <c r="E93" s="1" t="s">
        <v>275</v>
      </c>
      <c r="F93" s="1" t="s">
        <v>276</v>
      </c>
      <c r="G93" s="1" t="s">
        <v>13</v>
      </c>
      <c r="H93" s="1" t="s">
        <v>277</v>
      </c>
      <c r="I93" s="1" t="s">
        <v>30</v>
      </c>
      <c r="J93" s="9">
        <v>64</v>
      </c>
      <c r="K93" s="1" t="str">
        <f>IF(Table1[[#This Row],[AGE]]&lt;=18,"CHILD",IF(Table1[[#This Row],[AGE]]&lt;=20,"TEEN",IF(Table1[[#This Row],[AGE]]&lt;=40,"ADULT",IF(Table1[[#This Row],[AGE]]&lt;=60,"SENIOR CITIZEN","OLD CITIZEN"))))</f>
        <v>OLD CITIZEN</v>
      </c>
      <c r="L93" s="1" t="s">
        <v>66</v>
      </c>
      <c r="M93" s="1" t="s">
        <v>47</v>
      </c>
      <c r="N93" s="13">
        <f>VLOOKUP(Table1[[#This Row],[TRANSACTION ID]],'Transaction ID Record'!$C$3:$D$510,2,FALSE)</f>
        <v>185585</v>
      </c>
    </row>
    <row r="94" spans="1:14" x14ac:dyDescent="0.35">
      <c r="A94" s="6" t="str">
        <f>TEXT(Table1[[#This Row],[DATE]],"MMMM")</f>
        <v>March</v>
      </c>
      <c r="B94" s="10">
        <v>44623</v>
      </c>
      <c r="C94" s="1" t="s">
        <v>278</v>
      </c>
      <c r="D94" s="1" t="str">
        <f>UPPER(Table1[[#This Row],[NAME2]])</f>
        <v>ADENIYI TILLMAN</v>
      </c>
      <c r="E94" s="1" t="s">
        <v>178</v>
      </c>
      <c r="F94" s="1" t="s">
        <v>179</v>
      </c>
      <c r="G94" s="1" t="s">
        <v>13</v>
      </c>
      <c r="H94" s="1" t="s">
        <v>180</v>
      </c>
      <c r="I94" s="1" t="s">
        <v>30</v>
      </c>
      <c r="J94" s="9">
        <v>63</v>
      </c>
      <c r="K94" s="1" t="str">
        <f>IF(Table1[[#This Row],[AGE]]&lt;=18,"CHILD",IF(Table1[[#This Row],[AGE]]&lt;=20,"TEEN",IF(Table1[[#This Row],[AGE]]&lt;=40,"ADULT",IF(Table1[[#This Row],[AGE]]&lt;=60,"SENIOR CITIZEN","OLD CITIZEN"))))</f>
        <v>OLD CITIZEN</v>
      </c>
      <c r="L94" s="1" t="s">
        <v>42</v>
      </c>
      <c r="M94" s="1" t="s">
        <v>47</v>
      </c>
      <c r="N94" s="13">
        <f>VLOOKUP(Table1[[#This Row],[TRANSACTION ID]],'Transaction ID Record'!$C$3:$D$510,2,FALSE)</f>
        <v>134633</v>
      </c>
    </row>
    <row r="95" spans="1:14" x14ac:dyDescent="0.35">
      <c r="A95" s="6" t="str">
        <f>TEXT(Table1[[#This Row],[DATE]],"MMMM")</f>
        <v>March</v>
      </c>
      <c r="B95" s="10">
        <v>44623</v>
      </c>
      <c r="C95" s="1" t="s">
        <v>279</v>
      </c>
      <c r="D95" s="1" t="str">
        <f>UPPER(Table1[[#This Row],[NAME2]])</f>
        <v>GEORGE CLUBBS</v>
      </c>
      <c r="E95" s="1" t="s">
        <v>209</v>
      </c>
      <c r="F95" s="1" t="s">
        <v>814</v>
      </c>
      <c r="G95" s="1" t="s">
        <v>21</v>
      </c>
      <c r="H95" s="1" t="s">
        <v>210</v>
      </c>
      <c r="I95" s="1" t="s">
        <v>23</v>
      </c>
      <c r="J95" s="9">
        <v>39</v>
      </c>
      <c r="K95" s="1" t="str">
        <f>IF(Table1[[#This Row],[AGE]]&lt;=18,"CHILD",IF(Table1[[#This Row],[AGE]]&lt;=20,"TEEN",IF(Table1[[#This Row],[AGE]]&lt;=40,"ADULT",IF(Table1[[#This Row],[AGE]]&lt;=60,"SENIOR CITIZEN","OLD CITIZEN"))))</f>
        <v>ADULT</v>
      </c>
      <c r="L95" s="1" t="s">
        <v>57</v>
      </c>
      <c r="M95" s="1" t="s">
        <v>61</v>
      </c>
      <c r="N95" s="13">
        <f>VLOOKUP(Table1[[#This Row],[TRANSACTION ID]],'Transaction ID Record'!$C$3:$D$510,2,FALSE)</f>
        <v>44300</v>
      </c>
    </row>
    <row r="96" spans="1:14" x14ac:dyDescent="0.35">
      <c r="A96" s="6" t="str">
        <f>TEXT(Table1[[#This Row],[DATE]],"MMMM")</f>
        <v>March</v>
      </c>
      <c r="B96" s="10">
        <v>44624</v>
      </c>
      <c r="C96" s="1" t="s">
        <v>280</v>
      </c>
      <c r="D96" s="1" t="str">
        <f>UPPER(Table1[[#This Row],[NAME2]])</f>
        <v>SMALL ORR</v>
      </c>
      <c r="E96" s="1" t="s">
        <v>281</v>
      </c>
      <c r="F96" s="1" t="s">
        <v>282</v>
      </c>
      <c r="G96" s="1" t="s">
        <v>21</v>
      </c>
      <c r="H96" s="1" t="s">
        <v>283</v>
      </c>
      <c r="I96" s="1" t="s">
        <v>30</v>
      </c>
      <c r="J96" s="9">
        <v>40</v>
      </c>
      <c r="K96" s="1" t="str">
        <f>IF(Table1[[#This Row],[AGE]]&lt;=18,"CHILD",IF(Table1[[#This Row],[AGE]]&lt;=20,"TEEN",IF(Table1[[#This Row],[AGE]]&lt;=40,"ADULT",IF(Table1[[#This Row],[AGE]]&lt;=60,"SENIOR CITIZEN","OLD CITIZEN"))))</f>
        <v>ADULT</v>
      </c>
      <c r="L96" s="1" t="s">
        <v>52</v>
      </c>
      <c r="M96" s="1" t="s">
        <v>17</v>
      </c>
      <c r="N96" s="13">
        <f>VLOOKUP(Table1[[#This Row],[TRANSACTION ID]],'Transaction ID Record'!$C$3:$D$510,2,FALSE)</f>
        <v>36825</v>
      </c>
    </row>
    <row r="97" spans="1:14" x14ac:dyDescent="0.35">
      <c r="A97" s="6" t="str">
        <f>TEXT(Table1[[#This Row],[DATE]],"MMMM")</f>
        <v>March</v>
      </c>
      <c r="B97" s="10">
        <v>44624</v>
      </c>
      <c r="C97" s="1" t="s">
        <v>284</v>
      </c>
      <c r="D97" s="1" t="str">
        <f>UPPER(Table1[[#This Row],[NAME2]])</f>
        <v>HIROKO PANOVSKY</v>
      </c>
      <c r="E97" s="1" t="s">
        <v>100</v>
      </c>
      <c r="F97" s="1" t="s">
        <v>101</v>
      </c>
      <c r="G97" s="1" t="s">
        <v>13</v>
      </c>
      <c r="H97" s="1" t="s">
        <v>102</v>
      </c>
      <c r="I97" s="1" t="s">
        <v>15</v>
      </c>
      <c r="J97" s="9">
        <v>59</v>
      </c>
      <c r="K97" s="1" t="str">
        <f>IF(Table1[[#This Row],[AGE]]&lt;=18,"CHILD",IF(Table1[[#This Row],[AGE]]&lt;=20,"TEEN",IF(Table1[[#This Row],[AGE]]&lt;=40,"ADULT",IF(Table1[[#This Row],[AGE]]&lt;=60,"SENIOR CITIZEN","OLD CITIZEN"))))</f>
        <v>SENIOR CITIZEN</v>
      </c>
      <c r="L97" s="1" t="s">
        <v>52</v>
      </c>
      <c r="M97" s="1" t="s">
        <v>17</v>
      </c>
      <c r="N97" s="13">
        <f>VLOOKUP(Table1[[#This Row],[TRANSACTION ID]],'Transaction ID Record'!$C$3:$D$510,2,FALSE)</f>
        <v>11437</v>
      </c>
    </row>
    <row r="98" spans="1:14" x14ac:dyDescent="0.35">
      <c r="A98" s="6" t="str">
        <f>TEXT(Table1[[#This Row],[DATE]],"MMMM")</f>
        <v>March</v>
      </c>
      <c r="B98" s="10">
        <v>44624</v>
      </c>
      <c r="C98" s="1" t="s">
        <v>285</v>
      </c>
      <c r="D98" s="1" t="str">
        <f>UPPER(Table1[[#This Row],[NAME2]])</f>
        <v>ODUMOSU DUKE</v>
      </c>
      <c r="E98" s="1" t="s">
        <v>59</v>
      </c>
      <c r="F98" s="1" t="s">
        <v>800</v>
      </c>
      <c r="G98" s="1" t="s">
        <v>13</v>
      </c>
      <c r="H98" s="1" t="s">
        <v>60</v>
      </c>
      <c r="I98" s="1" t="s">
        <v>15</v>
      </c>
      <c r="J98" s="9">
        <v>48</v>
      </c>
      <c r="K98" s="1" t="str">
        <f>IF(Table1[[#This Row],[AGE]]&lt;=18,"CHILD",IF(Table1[[#This Row],[AGE]]&lt;=20,"TEEN",IF(Table1[[#This Row],[AGE]]&lt;=40,"ADULT",IF(Table1[[#This Row],[AGE]]&lt;=60,"SENIOR CITIZEN","OLD CITIZEN"))))</f>
        <v>SENIOR CITIZEN</v>
      </c>
      <c r="L98" s="1" t="s">
        <v>42</v>
      </c>
      <c r="M98" s="1" t="s">
        <v>47</v>
      </c>
      <c r="N98" s="13">
        <f>VLOOKUP(Table1[[#This Row],[TRANSACTION ID]],'Transaction ID Record'!$C$3:$D$510,2,FALSE)</f>
        <v>154662</v>
      </c>
    </row>
    <row r="99" spans="1:14" x14ac:dyDescent="0.35">
      <c r="A99" s="6" t="str">
        <f>TEXT(Table1[[#This Row],[DATE]],"MMMM")</f>
        <v>March</v>
      </c>
      <c r="B99" s="10">
        <v>44626</v>
      </c>
      <c r="C99" s="1" t="s">
        <v>286</v>
      </c>
      <c r="D99" s="1" t="str">
        <f>UPPER(Table1[[#This Row],[NAME2]])</f>
        <v>URSULA MADDOX</v>
      </c>
      <c r="E99" s="1" t="s">
        <v>11</v>
      </c>
      <c r="F99" s="1" t="s">
        <v>12</v>
      </c>
      <c r="G99" s="1" t="s">
        <v>13</v>
      </c>
      <c r="H99" s="1" t="s">
        <v>14</v>
      </c>
      <c r="I99" s="1" t="s">
        <v>15</v>
      </c>
      <c r="J99" s="9">
        <v>41</v>
      </c>
      <c r="K99" s="1" t="str">
        <f>IF(Table1[[#This Row],[AGE]]&lt;=18,"CHILD",IF(Table1[[#This Row],[AGE]]&lt;=20,"TEEN",IF(Table1[[#This Row],[AGE]]&lt;=40,"ADULT",IF(Table1[[#This Row],[AGE]]&lt;=60,"SENIOR CITIZEN","OLD CITIZEN"))))</f>
        <v>SENIOR CITIZEN</v>
      </c>
      <c r="L99" s="1" t="s">
        <v>24</v>
      </c>
      <c r="M99" s="1" t="s">
        <v>17</v>
      </c>
      <c r="N99" s="13">
        <f>VLOOKUP(Table1[[#This Row],[TRANSACTION ID]],'Transaction ID Record'!$C$3:$D$510,2,FALSE)</f>
        <v>45140</v>
      </c>
    </row>
    <row r="100" spans="1:14" x14ac:dyDescent="0.35">
      <c r="A100" s="6" t="str">
        <f>TEXT(Table1[[#This Row],[DATE]],"MMMM")</f>
        <v>March</v>
      </c>
      <c r="B100" s="10">
        <v>44626</v>
      </c>
      <c r="C100" s="1" t="s">
        <v>287</v>
      </c>
      <c r="D100" s="1" t="str">
        <f>UPPER(Table1[[#This Row],[NAME2]])</f>
        <v>ADENIYI WEAVER</v>
      </c>
      <c r="E100" s="1" t="s">
        <v>196</v>
      </c>
      <c r="F100" s="1" t="s">
        <v>197</v>
      </c>
      <c r="G100" s="1" t="s">
        <v>13</v>
      </c>
      <c r="H100" s="1" t="s">
        <v>198</v>
      </c>
      <c r="I100" s="1" t="s">
        <v>30</v>
      </c>
      <c r="J100" s="9">
        <v>39</v>
      </c>
      <c r="K100" s="1" t="str">
        <f>IF(Table1[[#This Row],[AGE]]&lt;=18,"CHILD",IF(Table1[[#This Row],[AGE]]&lt;=20,"TEEN",IF(Table1[[#This Row],[AGE]]&lt;=40,"ADULT",IF(Table1[[#This Row],[AGE]]&lt;=60,"SENIOR CITIZEN","OLD CITIZEN"))))</f>
        <v>ADULT</v>
      </c>
      <c r="L100" s="1" t="s">
        <v>66</v>
      </c>
      <c r="M100" s="1" t="s">
        <v>61</v>
      </c>
      <c r="N100" s="13">
        <f>VLOOKUP(Table1[[#This Row],[TRANSACTION ID]],'Transaction ID Record'!$C$3:$D$510,2,FALSE)</f>
        <v>38246</v>
      </c>
    </row>
    <row r="101" spans="1:14" x14ac:dyDescent="0.35">
      <c r="A101" s="6" t="str">
        <f>TEXT(Table1[[#This Row],[DATE]],"MMMM")</f>
        <v>March</v>
      </c>
      <c r="B101" s="10">
        <v>44628</v>
      </c>
      <c r="C101" s="1" t="s">
        <v>288</v>
      </c>
      <c r="D101" s="1" t="str">
        <f>UPPER(Table1[[#This Row],[NAME2]])</f>
        <v>FORREST FELIX</v>
      </c>
      <c r="E101" s="1" t="s">
        <v>289</v>
      </c>
      <c r="F101" s="1" t="s">
        <v>821</v>
      </c>
      <c r="G101" s="1" t="s">
        <v>21</v>
      </c>
      <c r="H101" s="1" t="s">
        <v>290</v>
      </c>
      <c r="I101" s="1" t="s">
        <v>15</v>
      </c>
      <c r="J101" s="9">
        <v>65</v>
      </c>
      <c r="K101" s="1" t="str">
        <f>IF(Table1[[#This Row],[AGE]]&lt;=18,"CHILD",IF(Table1[[#This Row],[AGE]]&lt;=20,"TEEN",IF(Table1[[#This Row],[AGE]]&lt;=40,"ADULT",IF(Table1[[#This Row],[AGE]]&lt;=60,"SENIOR CITIZEN","OLD CITIZEN"))))</f>
        <v>OLD CITIZEN</v>
      </c>
      <c r="L101" s="1" t="s">
        <v>52</v>
      </c>
      <c r="M101" s="1" t="s">
        <v>17</v>
      </c>
      <c r="N101" s="13">
        <f>VLOOKUP(Table1[[#This Row],[TRANSACTION ID]],'Transaction ID Record'!$C$3:$D$510,2,FALSE)</f>
        <v>52691</v>
      </c>
    </row>
    <row r="102" spans="1:14" x14ac:dyDescent="0.35">
      <c r="A102" s="6" t="str">
        <f>TEXT(Table1[[#This Row],[DATE]],"MMMM")</f>
        <v>March</v>
      </c>
      <c r="B102" s="10">
        <v>44628</v>
      </c>
      <c r="C102" s="1" t="s">
        <v>291</v>
      </c>
      <c r="D102" s="1" t="str">
        <f>UPPER(Table1[[#This Row],[NAME2]])</f>
        <v>MORGAN HERRIOT</v>
      </c>
      <c r="E102" s="1" t="s">
        <v>292</v>
      </c>
      <c r="F102" s="1" t="s">
        <v>822</v>
      </c>
      <c r="G102" s="1" t="s">
        <v>21</v>
      </c>
      <c r="H102" s="1" t="s">
        <v>293</v>
      </c>
      <c r="I102" s="1" t="s">
        <v>23</v>
      </c>
      <c r="J102" s="9">
        <v>37</v>
      </c>
      <c r="K102" s="1" t="str">
        <f>IF(Table1[[#This Row],[AGE]]&lt;=18,"CHILD",IF(Table1[[#This Row],[AGE]]&lt;=20,"TEEN",IF(Table1[[#This Row],[AGE]]&lt;=40,"ADULT",IF(Table1[[#This Row],[AGE]]&lt;=60,"SENIOR CITIZEN","OLD CITIZEN"))))</f>
        <v>ADULT</v>
      </c>
      <c r="L102" s="1" t="s">
        <v>42</v>
      </c>
      <c r="M102" s="1" t="s">
        <v>17</v>
      </c>
      <c r="N102" s="13">
        <f>VLOOKUP(Table1[[#This Row],[TRANSACTION ID]],'Transaction ID Record'!$C$3:$D$510,2,FALSE)</f>
        <v>42414</v>
      </c>
    </row>
    <row r="103" spans="1:14" x14ac:dyDescent="0.35">
      <c r="A103" s="6" t="str">
        <f>TEXT(Table1[[#This Row],[DATE]],"MMMM")</f>
        <v>March</v>
      </c>
      <c r="B103" s="10">
        <v>44628</v>
      </c>
      <c r="C103" s="1" t="s">
        <v>294</v>
      </c>
      <c r="D103" s="1" t="str">
        <f>UPPER(Table1[[#This Row],[NAME2]])</f>
        <v>BRETT FERNANDEZ</v>
      </c>
      <c r="E103" s="1" t="s">
        <v>295</v>
      </c>
      <c r="F103" s="1" t="s">
        <v>296</v>
      </c>
      <c r="G103" s="1" t="s">
        <v>13</v>
      </c>
      <c r="H103" s="1" t="s">
        <v>297</v>
      </c>
      <c r="I103" s="1" t="s">
        <v>23</v>
      </c>
      <c r="J103" s="9">
        <v>47</v>
      </c>
      <c r="K103" s="1" t="str">
        <f>IF(Table1[[#This Row],[AGE]]&lt;=18,"CHILD",IF(Table1[[#This Row],[AGE]]&lt;=20,"TEEN",IF(Table1[[#This Row],[AGE]]&lt;=40,"ADULT",IF(Table1[[#This Row],[AGE]]&lt;=60,"SENIOR CITIZEN","OLD CITIZEN"))))</f>
        <v>SENIOR CITIZEN</v>
      </c>
      <c r="L103" s="1" t="s">
        <v>16</v>
      </c>
      <c r="M103" s="1" t="s">
        <v>47</v>
      </c>
      <c r="N103" s="13">
        <f>VLOOKUP(Table1[[#This Row],[TRANSACTION ID]],'Transaction ID Record'!$C$3:$D$510,2,FALSE)</f>
        <v>182198</v>
      </c>
    </row>
    <row r="104" spans="1:14" x14ac:dyDescent="0.35">
      <c r="A104" s="6" t="str">
        <f>TEXT(Table1[[#This Row],[DATE]],"MMMM")</f>
        <v>March</v>
      </c>
      <c r="B104" s="10">
        <v>44628</v>
      </c>
      <c r="C104" s="1" t="s">
        <v>298</v>
      </c>
      <c r="D104" s="1" t="str">
        <f>UPPER(Table1[[#This Row],[NAME2]])</f>
        <v>NOBLE HICKS</v>
      </c>
      <c r="E104" s="1" t="s">
        <v>299</v>
      </c>
      <c r="F104" s="1" t="s">
        <v>300</v>
      </c>
      <c r="G104" s="1" t="s">
        <v>13</v>
      </c>
      <c r="H104" s="1" t="s">
        <v>301</v>
      </c>
      <c r="I104" s="1" t="s">
        <v>30</v>
      </c>
      <c r="J104" s="9">
        <v>76</v>
      </c>
      <c r="K104" s="1" t="str">
        <f>IF(Table1[[#This Row],[AGE]]&lt;=18,"CHILD",IF(Table1[[#This Row],[AGE]]&lt;=20,"TEEN",IF(Table1[[#This Row],[AGE]]&lt;=40,"ADULT",IF(Table1[[#This Row],[AGE]]&lt;=60,"SENIOR CITIZEN","OLD CITIZEN"))))</f>
        <v>OLD CITIZEN</v>
      </c>
      <c r="L104" s="1" t="s">
        <v>151</v>
      </c>
      <c r="M104" s="1" t="s">
        <v>47</v>
      </c>
      <c r="N104" s="13">
        <f>VLOOKUP(Table1[[#This Row],[TRANSACTION ID]],'Transaction ID Record'!$C$3:$D$510,2,FALSE)</f>
        <v>40687</v>
      </c>
    </row>
    <row r="105" spans="1:14" x14ac:dyDescent="0.35">
      <c r="A105" s="6" t="str">
        <f>TEXT(Table1[[#This Row],[DATE]],"MMMM")</f>
        <v>March</v>
      </c>
      <c r="B105" s="10">
        <v>44629</v>
      </c>
      <c r="C105" s="1" t="s">
        <v>302</v>
      </c>
      <c r="D105" s="1" t="str">
        <f>UPPER(Table1[[#This Row],[NAME2]])</f>
        <v>OLUDAISI JOHNSON</v>
      </c>
      <c r="E105" s="1" t="s">
        <v>259</v>
      </c>
      <c r="F105" s="1" t="s">
        <v>818</v>
      </c>
      <c r="G105" s="1" t="s">
        <v>21</v>
      </c>
      <c r="H105" s="1" t="s">
        <v>260</v>
      </c>
      <c r="I105" s="1" t="s">
        <v>30</v>
      </c>
      <c r="J105" s="9">
        <v>45</v>
      </c>
      <c r="K105" s="1" t="str">
        <f>IF(Table1[[#This Row],[AGE]]&lt;=18,"CHILD",IF(Table1[[#This Row],[AGE]]&lt;=20,"TEEN",IF(Table1[[#This Row],[AGE]]&lt;=40,"ADULT",IF(Table1[[#This Row],[AGE]]&lt;=60,"SENIOR CITIZEN","OLD CITIZEN"))))</f>
        <v>SENIOR CITIZEN</v>
      </c>
      <c r="L105" s="1" t="s">
        <v>42</v>
      </c>
      <c r="M105" s="1" t="s">
        <v>61</v>
      </c>
      <c r="N105" s="13">
        <f>VLOOKUP(Table1[[#This Row],[TRANSACTION ID]],'Transaction ID Record'!$C$3:$D$510,2,FALSE)</f>
        <v>149850</v>
      </c>
    </row>
    <row r="106" spans="1:14" x14ac:dyDescent="0.35">
      <c r="A106" s="6" t="str">
        <f>TEXT(Table1[[#This Row],[DATE]],"MMMM")</f>
        <v>March</v>
      </c>
      <c r="B106" s="10">
        <v>44629</v>
      </c>
      <c r="C106" s="1" t="s">
        <v>303</v>
      </c>
      <c r="D106" s="1" t="str">
        <f>UPPER(Table1[[#This Row],[NAME2]])</f>
        <v>ADENIYI TILLMAN</v>
      </c>
      <c r="E106" s="1" t="s">
        <v>178</v>
      </c>
      <c r="F106" s="1" t="s">
        <v>179</v>
      </c>
      <c r="G106" s="1" t="s">
        <v>13</v>
      </c>
      <c r="H106" s="1" t="s">
        <v>180</v>
      </c>
      <c r="I106" s="1" t="s">
        <v>30</v>
      </c>
      <c r="J106" s="9">
        <v>63</v>
      </c>
      <c r="K106" s="1" t="str">
        <f>IF(Table1[[#This Row],[AGE]]&lt;=18,"CHILD",IF(Table1[[#This Row],[AGE]]&lt;=20,"TEEN",IF(Table1[[#This Row],[AGE]]&lt;=40,"ADULT",IF(Table1[[#This Row],[AGE]]&lt;=60,"SENIOR CITIZEN","OLD CITIZEN"))))</f>
        <v>OLD CITIZEN</v>
      </c>
      <c r="L106" s="1" t="s">
        <v>31</v>
      </c>
      <c r="M106" s="1" t="s">
        <v>25</v>
      </c>
      <c r="N106" s="13">
        <f>VLOOKUP(Table1[[#This Row],[TRANSACTION ID]],'Transaction ID Record'!$C$3:$D$510,2,FALSE)</f>
        <v>185419</v>
      </c>
    </row>
    <row r="107" spans="1:14" x14ac:dyDescent="0.35">
      <c r="A107" s="6" t="str">
        <f>TEXT(Table1[[#This Row],[DATE]],"MMMM")</f>
        <v>March</v>
      </c>
      <c r="B107" s="10">
        <v>44631</v>
      </c>
      <c r="C107" s="1" t="s">
        <v>304</v>
      </c>
      <c r="D107" s="1" t="str">
        <f>UPPER(Table1[[#This Row],[NAME2]])</f>
        <v>ADENIYI TILLMAN</v>
      </c>
      <c r="E107" s="1" t="s">
        <v>178</v>
      </c>
      <c r="F107" s="1" t="s">
        <v>179</v>
      </c>
      <c r="G107" s="1" t="s">
        <v>13</v>
      </c>
      <c r="H107" s="1" t="s">
        <v>180</v>
      </c>
      <c r="I107" s="1" t="s">
        <v>30</v>
      </c>
      <c r="J107" s="9">
        <v>63</v>
      </c>
      <c r="K107" s="1" t="str">
        <f>IF(Table1[[#This Row],[AGE]]&lt;=18,"CHILD",IF(Table1[[#This Row],[AGE]]&lt;=20,"TEEN",IF(Table1[[#This Row],[AGE]]&lt;=40,"ADULT",IF(Table1[[#This Row],[AGE]]&lt;=60,"SENIOR CITIZEN","OLD CITIZEN"))))</f>
        <v>OLD CITIZEN</v>
      </c>
      <c r="L107" s="1" t="s">
        <v>24</v>
      </c>
      <c r="M107" s="1" t="s">
        <v>32</v>
      </c>
      <c r="N107" s="13">
        <f>VLOOKUP(Table1[[#This Row],[TRANSACTION ID]],'Transaction ID Record'!$C$3:$D$510,2,FALSE)</f>
        <v>123157</v>
      </c>
    </row>
    <row r="108" spans="1:14" x14ac:dyDescent="0.35">
      <c r="A108" s="6" t="str">
        <f>TEXT(Table1[[#This Row],[DATE]],"MMMM")</f>
        <v>March</v>
      </c>
      <c r="B108" s="10">
        <v>44631</v>
      </c>
      <c r="C108" s="1" t="s">
        <v>305</v>
      </c>
      <c r="D108" s="1" t="str">
        <f>UPPER(Table1[[#This Row],[NAME2]])</f>
        <v>AMERY JACOB</v>
      </c>
      <c r="E108" s="1" t="s">
        <v>306</v>
      </c>
      <c r="F108" s="1" t="s">
        <v>307</v>
      </c>
      <c r="G108" s="1" t="s">
        <v>13</v>
      </c>
      <c r="H108" s="1" t="s">
        <v>308</v>
      </c>
      <c r="I108" s="1" t="s">
        <v>30</v>
      </c>
      <c r="J108" s="9">
        <v>21</v>
      </c>
      <c r="K108" s="1" t="str">
        <f>IF(Table1[[#This Row],[AGE]]&lt;=18,"CHILD",IF(Table1[[#This Row],[AGE]]&lt;=20,"TEEN",IF(Table1[[#This Row],[AGE]]&lt;=40,"ADULT",IF(Table1[[#This Row],[AGE]]&lt;=60,"SENIOR CITIZEN","OLD CITIZEN"))))</f>
        <v>ADULT</v>
      </c>
      <c r="L108" s="1" t="s">
        <v>151</v>
      </c>
      <c r="M108" s="1" t="s">
        <v>47</v>
      </c>
      <c r="N108" s="13">
        <f>VLOOKUP(Table1[[#This Row],[TRANSACTION ID]],'Transaction ID Record'!$C$3:$D$510,2,FALSE)</f>
        <v>9671</v>
      </c>
    </row>
    <row r="109" spans="1:14" x14ac:dyDescent="0.35">
      <c r="A109" s="6" t="str">
        <f>TEXT(Table1[[#This Row],[DATE]],"MMMM")</f>
        <v>March</v>
      </c>
      <c r="B109" s="10">
        <v>44632</v>
      </c>
      <c r="C109" s="1" t="s">
        <v>309</v>
      </c>
      <c r="D109" s="1" t="str">
        <f>UPPER(Table1[[#This Row],[NAME2]])</f>
        <v>ODUMOSU DUKE</v>
      </c>
      <c r="E109" s="1" t="s">
        <v>59</v>
      </c>
      <c r="F109" s="1" t="s">
        <v>800</v>
      </c>
      <c r="G109" s="1" t="s">
        <v>13</v>
      </c>
      <c r="H109" s="1" t="s">
        <v>60</v>
      </c>
      <c r="I109" s="1" t="s">
        <v>15</v>
      </c>
      <c r="J109" s="9">
        <v>48</v>
      </c>
      <c r="K109" s="1" t="str">
        <f>IF(Table1[[#This Row],[AGE]]&lt;=18,"CHILD",IF(Table1[[#This Row],[AGE]]&lt;=20,"TEEN",IF(Table1[[#This Row],[AGE]]&lt;=40,"ADULT",IF(Table1[[#This Row],[AGE]]&lt;=60,"SENIOR CITIZEN","OLD CITIZEN"))))</f>
        <v>SENIOR CITIZEN</v>
      </c>
      <c r="L109" s="1" t="s">
        <v>151</v>
      </c>
      <c r="M109" s="1" t="s">
        <v>17</v>
      </c>
      <c r="N109" s="13">
        <f>VLOOKUP(Table1[[#This Row],[TRANSACTION ID]],'Transaction ID Record'!$C$3:$D$510,2,FALSE)</f>
        <v>33554</v>
      </c>
    </row>
    <row r="110" spans="1:14" x14ac:dyDescent="0.35">
      <c r="A110" s="6" t="str">
        <f>TEXT(Table1[[#This Row],[DATE]],"MMMM")</f>
        <v>March</v>
      </c>
      <c r="B110" s="10">
        <v>44632</v>
      </c>
      <c r="C110" s="1" t="s">
        <v>310</v>
      </c>
      <c r="D110" s="1" t="str">
        <f>UPPER(Table1[[#This Row],[NAME2]])</f>
        <v>KEATON JIMENEZ</v>
      </c>
      <c r="E110" s="1" t="s">
        <v>250</v>
      </c>
      <c r="F110" s="1" t="s">
        <v>251</v>
      </c>
      <c r="G110" s="1" t="s">
        <v>21</v>
      </c>
      <c r="H110" s="1" t="s">
        <v>252</v>
      </c>
      <c r="I110" s="1" t="s">
        <v>15</v>
      </c>
      <c r="J110" s="9">
        <v>35</v>
      </c>
      <c r="K110" s="1" t="str">
        <f>IF(Table1[[#This Row],[AGE]]&lt;=18,"CHILD",IF(Table1[[#This Row],[AGE]]&lt;=20,"TEEN",IF(Table1[[#This Row],[AGE]]&lt;=40,"ADULT",IF(Table1[[#This Row],[AGE]]&lt;=60,"SENIOR CITIZEN","OLD CITIZEN"))))</f>
        <v>ADULT</v>
      </c>
      <c r="L110" s="1" t="s">
        <v>57</v>
      </c>
      <c r="M110" s="1" t="s">
        <v>47</v>
      </c>
      <c r="N110" s="13">
        <f>VLOOKUP(Table1[[#This Row],[TRANSACTION ID]],'Transaction ID Record'!$C$3:$D$510,2,FALSE)</f>
        <v>55836</v>
      </c>
    </row>
    <row r="111" spans="1:14" x14ac:dyDescent="0.35">
      <c r="A111" s="6" t="str">
        <f>TEXT(Table1[[#This Row],[DATE]],"MMMM")</f>
        <v>March</v>
      </c>
      <c r="B111" s="10">
        <v>44633</v>
      </c>
      <c r="C111" s="1" t="s">
        <v>311</v>
      </c>
      <c r="D111" s="1" t="str">
        <f>UPPER(Table1[[#This Row],[NAME2]])</f>
        <v>ADEBOLA SOLIS</v>
      </c>
      <c r="E111" s="1" t="s">
        <v>244</v>
      </c>
      <c r="F111" s="1" t="s">
        <v>245</v>
      </c>
      <c r="G111" s="1" t="s">
        <v>21</v>
      </c>
      <c r="H111" s="1" t="s">
        <v>246</v>
      </c>
      <c r="I111" s="1" t="s">
        <v>15</v>
      </c>
      <c r="J111" s="9">
        <v>29</v>
      </c>
      <c r="K111" s="1" t="str">
        <f>IF(Table1[[#This Row],[AGE]]&lt;=18,"CHILD",IF(Table1[[#This Row],[AGE]]&lt;=20,"TEEN",IF(Table1[[#This Row],[AGE]]&lt;=40,"ADULT",IF(Table1[[#This Row],[AGE]]&lt;=60,"SENIOR CITIZEN","OLD CITIZEN"))))</f>
        <v>ADULT</v>
      </c>
      <c r="L111" s="1" t="s">
        <v>52</v>
      </c>
      <c r="M111" s="1" t="s">
        <v>25</v>
      </c>
      <c r="N111" s="13">
        <f>VLOOKUP(Table1[[#This Row],[TRANSACTION ID]],'Transaction ID Record'!$C$3:$D$510,2,FALSE)</f>
        <v>86635</v>
      </c>
    </row>
    <row r="112" spans="1:14" x14ac:dyDescent="0.35">
      <c r="A112" s="6" t="str">
        <f>TEXT(Table1[[#This Row],[DATE]],"MMMM")</f>
        <v>March</v>
      </c>
      <c r="B112" s="10">
        <v>44633</v>
      </c>
      <c r="C112" s="1" t="s">
        <v>312</v>
      </c>
      <c r="D112" s="1" t="str">
        <f>UPPER(Table1[[#This Row],[NAME2]])</f>
        <v>MORGAN HERRIOT</v>
      </c>
      <c r="E112" s="1" t="s">
        <v>292</v>
      </c>
      <c r="F112" s="1" t="s">
        <v>822</v>
      </c>
      <c r="G112" s="1" t="s">
        <v>21</v>
      </c>
      <c r="H112" s="1" t="s">
        <v>293</v>
      </c>
      <c r="I112" s="1" t="s">
        <v>23</v>
      </c>
      <c r="J112" s="9">
        <v>37</v>
      </c>
      <c r="K112" s="1" t="str">
        <f>IF(Table1[[#This Row],[AGE]]&lt;=18,"CHILD",IF(Table1[[#This Row],[AGE]]&lt;=20,"TEEN",IF(Table1[[#This Row],[AGE]]&lt;=40,"ADULT",IF(Table1[[#This Row],[AGE]]&lt;=60,"SENIOR CITIZEN","OLD CITIZEN"))))</f>
        <v>ADULT</v>
      </c>
      <c r="L112" s="1" t="s">
        <v>151</v>
      </c>
      <c r="M112" s="1" t="s">
        <v>61</v>
      </c>
      <c r="N112" s="13">
        <f>VLOOKUP(Table1[[#This Row],[TRANSACTION ID]],'Transaction ID Record'!$C$3:$D$510,2,FALSE)</f>
        <v>24704</v>
      </c>
    </row>
    <row r="113" spans="1:14" x14ac:dyDescent="0.35">
      <c r="A113" s="6" t="str">
        <f>TEXT(Table1[[#This Row],[DATE]],"MMMM")</f>
        <v>March</v>
      </c>
      <c r="B113" s="10">
        <v>44633</v>
      </c>
      <c r="C113" s="1" t="s">
        <v>313</v>
      </c>
      <c r="D113" s="1" t="str">
        <f>UPPER(Table1[[#This Row],[NAME2]])</f>
        <v>OKEDIRAN MITCHELL</v>
      </c>
      <c r="E113" s="1" t="s">
        <v>314</v>
      </c>
      <c r="F113" s="1" t="s">
        <v>315</v>
      </c>
      <c r="G113" s="1" t="s">
        <v>21</v>
      </c>
      <c r="H113" s="1" t="s">
        <v>316</v>
      </c>
      <c r="I113" s="1" t="s">
        <v>23</v>
      </c>
      <c r="J113" s="9">
        <v>28</v>
      </c>
      <c r="K113" s="1" t="str">
        <f>IF(Table1[[#This Row],[AGE]]&lt;=18,"CHILD",IF(Table1[[#This Row],[AGE]]&lt;=20,"TEEN",IF(Table1[[#This Row],[AGE]]&lt;=40,"ADULT",IF(Table1[[#This Row],[AGE]]&lt;=60,"SENIOR CITIZEN","OLD CITIZEN"))))</f>
        <v>ADULT</v>
      </c>
      <c r="L113" s="1" t="s">
        <v>167</v>
      </c>
      <c r="M113" s="1" t="s">
        <v>17</v>
      </c>
      <c r="N113" s="13">
        <f>VLOOKUP(Table1[[#This Row],[TRANSACTION ID]],'Transaction ID Record'!$C$3:$D$510,2,FALSE)</f>
        <v>66902</v>
      </c>
    </row>
    <row r="114" spans="1:14" x14ac:dyDescent="0.35">
      <c r="A114" s="6" t="str">
        <f>TEXT(Table1[[#This Row],[DATE]],"MMMM")</f>
        <v>March</v>
      </c>
      <c r="B114" s="10">
        <v>44633</v>
      </c>
      <c r="C114" s="1" t="s">
        <v>317</v>
      </c>
      <c r="D114" s="1" t="str">
        <f>UPPER(Table1[[#This Row],[NAME2]])</f>
        <v>ADELEKE FITZPATRICK</v>
      </c>
      <c r="E114" s="1" t="s">
        <v>121</v>
      </c>
      <c r="F114" s="1" t="s">
        <v>122</v>
      </c>
      <c r="G114" s="1" t="s">
        <v>13</v>
      </c>
      <c r="H114" s="1" t="s">
        <v>123</v>
      </c>
      <c r="I114" s="1" t="s">
        <v>15</v>
      </c>
      <c r="J114" s="9">
        <v>59</v>
      </c>
      <c r="K114" s="1" t="str">
        <f>IF(Table1[[#This Row],[AGE]]&lt;=18,"CHILD",IF(Table1[[#This Row],[AGE]]&lt;=20,"TEEN",IF(Table1[[#This Row],[AGE]]&lt;=40,"ADULT",IF(Table1[[#This Row],[AGE]]&lt;=60,"SENIOR CITIZEN","OLD CITIZEN"))))</f>
        <v>SENIOR CITIZEN</v>
      </c>
      <c r="L114" s="1" t="s">
        <v>52</v>
      </c>
      <c r="M114" s="1" t="s">
        <v>17</v>
      </c>
      <c r="N114" s="13">
        <f>VLOOKUP(Table1[[#This Row],[TRANSACTION ID]],'Transaction ID Record'!$C$3:$D$510,2,FALSE)</f>
        <v>72293</v>
      </c>
    </row>
    <row r="115" spans="1:14" x14ac:dyDescent="0.35">
      <c r="A115" s="6" t="str">
        <f>TEXT(Table1[[#This Row],[DATE]],"MMMM")</f>
        <v>March</v>
      </c>
      <c r="B115" s="10">
        <v>44634</v>
      </c>
      <c r="C115" s="1" t="s">
        <v>318</v>
      </c>
      <c r="D115" s="1" t="str">
        <f>UPPER(Table1[[#This Row],[NAME2]])</f>
        <v>OLAYINKA CANINI</v>
      </c>
      <c r="E115" s="1" t="s">
        <v>319</v>
      </c>
      <c r="F115" s="1" t="s">
        <v>823</v>
      </c>
      <c r="G115" s="1" t="s">
        <v>21</v>
      </c>
      <c r="H115" s="1" t="s">
        <v>320</v>
      </c>
      <c r="I115" s="1" t="s">
        <v>30</v>
      </c>
      <c r="J115" s="9">
        <v>45</v>
      </c>
      <c r="K115" s="1" t="str">
        <f>IF(Table1[[#This Row],[AGE]]&lt;=18,"CHILD",IF(Table1[[#This Row],[AGE]]&lt;=20,"TEEN",IF(Table1[[#This Row],[AGE]]&lt;=40,"ADULT",IF(Table1[[#This Row],[AGE]]&lt;=60,"SENIOR CITIZEN","OLD CITIZEN"))))</f>
        <v>SENIOR CITIZEN</v>
      </c>
      <c r="L115" s="1" t="s">
        <v>151</v>
      </c>
      <c r="M115" s="1" t="s">
        <v>47</v>
      </c>
      <c r="N115" s="13">
        <f>VLOOKUP(Table1[[#This Row],[TRANSACTION ID]],'Transaction ID Record'!$C$3:$D$510,2,FALSE)</f>
        <v>34025</v>
      </c>
    </row>
    <row r="116" spans="1:14" x14ac:dyDescent="0.35">
      <c r="A116" s="6" t="str">
        <f>TEXT(Table1[[#This Row],[DATE]],"MMMM")</f>
        <v>March</v>
      </c>
      <c r="B116" s="10">
        <v>44635</v>
      </c>
      <c r="C116" s="1" t="s">
        <v>321</v>
      </c>
      <c r="D116" s="1" t="str">
        <f>UPPER(Table1[[#This Row],[NAME2]])</f>
        <v>ADENIYI TILLMAN</v>
      </c>
      <c r="E116" s="1" t="s">
        <v>178</v>
      </c>
      <c r="F116" s="1" t="s">
        <v>179</v>
      </c>
      <c r="G116" s="1" t="s">
        <v>13</v>
      </c>
      <c r="H116" s="1" t="s">
        <v>180</v>
      </c>
      <c r="I116" s="1" t="s">
        <v>30</v>
      </c>
      <c r="J116" s="9">
        <v>63</v>
      </c>
      <c r="K116" s="1" t="str">
        <f>IF(Table1[[#This Row],[AGE]]&lt;=18,"CHILD",IF(Table1[[#This Row],[AGE]]&lt;=20,"TEEN",IF(Table1[[#This Row],[AGE]]&lt;=40,"ADULT",IF(Table1[[#This Row],[AGE]]&lt;=60,"SENIOR CITIZEN","OLD CITIZEN"))))</f>
        <v>OLD CITIZEN</v>
      </c>
      <c r="L116" s="1" t="s">
        <v>42</v>
      </c>
      <c r="M116" s="1" t="s">
        <v>25</v>
      </c>
      <c r="N116" s="13">
        <f>VLOOKUP(Table1[[#This Row],[TRANSACTION ID]],'Transaction ID Record'!$C$3:$D$510,2,FALSE)</f>
        <v>31707</v>
      </c>
    </row>
    <row r="117" spans="1:14" x14ac:dyDescent="0.35">
      <c r="A117" s="6" t="str">
        <f>TEXT(Table1[[#This Row],[DATE]],"MMMM")</f>
        <v>March</v>
      </c>
      <c r="B117" s="10">
        <v>44635</v>
      </c>
      <c r="C117" s="1" t="s">
        <v>322</v>
      </c>
      <c r="D117" s="1" t="str">
        <f>UPPER(Table1[[#This Row],[NAME2]])</f>
        <v>JOY GARZA</v>
      </c>
      <c r="E117" s="1" t="s">
        <v>158</v>
      </c>
      <c r="F117" s="1" t="s">
        <v>159</v>
      </c>
      <c r="G117" s="1" t="s">
        <v>13</v>
      </c>
      <c r="H117" s="1" t="s">
        <v>160</v>
      </c>
      <c r="I117" s="1" t="s">
        <v>23</v>
      </c>
      <c r="J117" s="9">
        <v>60</v>
      </c>
      <c r="K117" s="1" t="str">
        <f>IF(Table1[[#This Row],[AGE]]&lt;=18,"CHILD",IF(Table1[[#This Row],[AGE]]&lt;=20,"TEEN",IF(Table1[[#This Row],[AGE]]&lt;=40,"ADULT",IF(Table1[[#This Row],[AGE]]&lt;=60,"SENIOR CITIZEN","OLD CITIZEN"))))</f>
        <v>SENIOR CITIZEN</v>
      </c>
      <c r="L117" s="1" t="s">
        <v>16</v>
      </c>
      <c r="M117" s="1" t="s">
        <v>61</v>
      </c>
      <c r="N117" s="13">
        <f>VLOOKUP(Table1[[#This Row],[TRANSACTION ID]],'Transaction ID Record'!$C$3:$D$510,2,FALSE)</f>
        <v>144574</v>
      </c>
    </row>
    <row r="118" spans="1:14" x14ac:dyDescent="0.35">
      <c r="A118" s="6" t="str">
        <f>TEXT(Table1[[#This Row],[DATE]],"MMMM")</f>
        <v>March</v>
      </c>
      <c r="B118" s="10">
        <v>44636</v>
      </c>
      <c r="C118" s="1" t="s">
        <v>323</v>
      </c>
      <c r="D118" s="1" t="str">
        <f>UPPER(Table1[[#This Row],[NAME2]])</f>
        <v>INGRID BURRIS</v>
      </c>
      <c r="E118" s="1" t="s">
        <v>324</v>
      </c>
      <c r="F118" s="1" t="s">
        <v>824</v>
      </c>
      <c r="G118" s="1" t="s">
        <v>21</v>
      </c>
      <c r="H118" s="1" t="s">
        <v>325</v>
      </c>
      <c r="I118" s="1" t="s">
        <v>30</v>
      </c>
      <c r="J118" s="9">
        <v>50</v>
      </c>
      <c r="K118" s="1" t="str">
        <f>IF(Table1[[#This Row],[AGE]]&lt;=18,"CHILD",IF(Table1[[#This Row],[AGE]]&lt;=20,"TEEN",IF(Table1[[#This Row],[AGE]]&lt;=40,"ADULT",IF(Table1[[#This Row],[AGE]]&lt;=60,"SENIOR CITIZEN","OLD CITIZEN"))))</f>
        <v>SENIOR CITIZEN</v>
      </c>
      <c r="L118" s="1" t="s">
        <v>42</v>
      </c>
      <c r="M118" s="1" t="s">
        <v>47</v>
      </c>
      <c r="N118" s="13">
        <f>VLOOKUP(Table1[[#This Row],[TRANSACTION ID]],'Transaction ID Record'!$C$3:$D$510,2,FALSE)</f>
        <v>85467</v>
      </c>
    </row>
    <row r="119" spans="1:14" x14ac:dyDescent="0.35">
      <c r="A119" s="6" t="str">
        <f>TEXT(Table1[[#This Row],[DATE]],"MMMM")</f>
        <v>March</v>
      </c>
      <c r="B119" s="10">
        <v>44636</v>
      </c>
      <c r="C119" s="1" t="s">
        <v>326</v>
      </c>
      <c r="D119" s="1" t="str">
        <f>UPPER(Table1[[#This Row],[NAME2]])</f>
        <v>TAIBAT DENNIS</v>
      </c>
      <c r="E119" s="1" t="s">
        <v>327</v>
      </c>
      <c r="F119" s="1" t="s">
        <v>328</v>
      </c>
      <c r="G119" s="1" t="s">
        <v>13</v>
      </c>
      <c r="H119" s="1" t="s">
        <v>329</v>
      </c>
      <c r="I119" s="1" t="s">
        <v>23</v>
      </c>
      <c r="J119" s="9">
        <v>37</v>
      </c>
      <c r="K119" s="1" t="str">
        <f>IF(Table1[[#This Row],[AGE]]&lt;=18,"CHILD",IF(Table1[[#This Row],[AGE]]&lt;=20,"TEEN",IF(Table1[[#This Row],[AGE]]&lt;=40,"ADULT",IF(Table1[[#This Row],[AGE]]&lt;=60,"SENIOR CITIZEN","OLD CITIZEN"))))</f>
        <v>ADULT</v>
      </c>
      <c r="L119" s="1" t="s">
        <v>57</v>
      </c>
      <c r="M119" s="1" t="s">
        <v>61</v>
      </c>
      <c r="N119" s="13">
        <f>VLOOKUP(Table1[[#This Row],[TRANSACTION ID]],'Transaction ID Record'!$C$3:$D$510,2,FALSE)</f>
        <v>63755</v>
      </c>
    </row>
    <row r="120" spans="1:14" x14ac:dyDescent="0.35">
      <c r="A120" s="6" t="str">
        <f>TEXT(Table1[[#This Row],[DATE]],"MMMM")</f>
        <v>March</v>
      </c>
      <c r="B120" s="10">
        <v>44637</v>
      </c>
      <c r="C120" s="1" t="s">
        <v>330</v>
      </c>
      <c r="D120" s="1" t="str">
        <f>UPPER(Table1[[#This Row],[NAME2]])</f>
        <v>ADEBOLA EZICHI</v>
      </c>
      <c r="E120" s="1" t="s">
        <v>137</v>
      </c>
      <c r="F120" s="1" t="s">
        <v>138</v>
      </c>
      <c r="G120" s="1" t="s">
        <v>21</v>
      </c>
      <c r="H120" s="1" t="s">
        <v>139</v>
      </c>
      <c r="I120" s="1" t="s">
        <v>15</v>
      </c>
      <c r="J120" s="9">
        <v>37</v>
      </c>
      <c r="K120" s="1" t="str">
        <f>IF(Table1[[#This Row],[AGE]]&lt;=18,"CHILD",IF(Table1[[#This Row],[AGE]]&lt;=20,"TEEN",IF(Table1[[#This Row],[AGE]]&lt;=40,"ADULT",IF(Table1[[#This Row],[AGE]]&lt;=60,"SENIOR CITIZEN","OLD CITIZEN"))))</f>
        <v>ADULT</v>
      </c>
      <c r="L120" s="1" t="s">
        <v>57</v>
      </c>
      <c r="M120" s="1" t="s">
        <v>17</v>
      </c>
      <c r="N120" s="13">
        <f>VLOOKUP(Table1[[#This Row],[TRANSACTION ID]],'Transaction ID Record'!$C$3:$D$510,2,FALSE)</f>
        <v>183919</v>
      </c>
    </row>
    <row r="121" spans="1:14" x14ac:dyDescent="0.35">
      <c r="A121" s="6" t="str">
        <f>TEXT(Table1[[#This Row],[DATE]],"MMMM")</f>
        <v>March</v>
      </c>
      <c r="B121" s="10">
        <v>44637</v>
      </c>
      <c r="C121" s="1" t="s">
        <v>331</v>
      </c>
      <c r="D121" s="1" t="str">
        <f>UPPER(Table1[[#This Row],[NAME2]])</f>
        <v>ODUMOSU MCCLURE</v>
      </c>
      <c r="E121" s="1" t="s">
        <v>63</v>
      </c>
      <c r="F121" s="1" t="s">
        <v>64</v>
      </c>
      <c r="G121" s="1" t="s">
        <v>13</v>
      </c>
      <c r="H121" s="1" t="s">
        <v>65</v>
      </c>
      <c r="I121" s="1" t="s">
        <v>15</v>
      </c>
      <c r="J121" s="9">
        <v>60</v>
      </c>
      <c r="K121" s="1" t="str">
        <f>IF(Table1[[#This Row],[AGE]]&lt;=18,"CHILD",IF(Table1[[#This Row],[AGE]]&lt;=20,"TEEN",IF(Table1[[#This Row],[AGE]]&lt;=40,"ADULT",IF(Table1[[#This Row],[AGE]]&lt;=60,"SENIOR CITIZEN","OLD CITIZEN"))))</f>
        <v>SENIOR CITIZEN</v>
      </c>
      <c r="L121" s="1" t="s">
        <v>151</v>
      </c>
      <c r="M121" s="1" t="s">
        <v>47</v>
      </c>
      <c r="N121" s="13">
        <f>VLOOKUP(Table1[[#This Row],[TRANSACTION ID]],'Transaction ID Record'!$C$3:$D$510,2,FALSE)</f>
        <v>157181</v>
      </c>
    </row>
    <row r="122" spans="1:14" x14ac:dyDescent="0.35">
      <c r="A122" s="6" t="str">
        <f>TEXT(Table1[[#This Row],[DATE]],"MMMM")</f>
        <v>March</v>
      </c>
      <c r="B122" s="10">
        <v>44637</v>
      </c>
      <c r="C122" s="1" t="s">
        <v>332</v>
      </c>
      <c r="D122" s="1" t="str">
        <f>UPPER(Table1[[#This Row],[NAME2]])</f>
        <v>CELESTE MILLER</v>
      </c>
      <c r="E122" s="1" t="s">
        <v>129</v>
      </c>
      <c r="F122" s="1" t="s">
        <v>130</v>
      </c>
      <c r="G122" s="1" t="s">
        <v>21</v>
      </c>
      <c r="H122" s="1" t="s">
        <v>131</v>
      </c>
      <c r="I122" s="1" t="s">
        <v>23</v>
      </c>
      <c r="J122" s="9">
        <v>66</v>
      </c>
      <c r="K122" s="1" t="str">
        <f>IF(Table1[[#This Row],[AGE]]&lt;=18,"CHILD",IF(Table1[[#This Row],[AGE]]&lt;=20,"TEEN",IF(Table1[[#This Row],[AGE]]&lt;=40,"ADULT",IF(Table1[[#This Row],[AGE]]&lt;=60,"SENIOR CITIZEN","OLD CITIZEN"))))</f>
        <v>OLD CITIZEN</v>
      </c>
      <c r="L122" s="1" t="s">
        <v>151</v>
      </c>
      <c r="M122" s="1" t="s">
        <v>25</v>
      </c>
      <c r="N122" s="13">
        <f>VLOOKUP(Table1[[#This Row],[TRANSACTION ID]],'Transaction ID Record'!$C$3:$D$510,2,FALSE)</f>
        <v>139684</v>
      </c>
    </row>
    <row r="123" spans="1:14" x14ac:dyDescent="0.35">
      <c r="A123" s="6" t="str">
        <f>TEXT(Table1[[#This Row],[DATE]],"MMMM")</f>
        <v>March</v>
      </c>
      <c r="B123" s="10">
        <v>44638</v>
      </c>
      <c r="C123" s="1" t="s">
        <v>333</v>
      </c>
      <c r="D123" s="1" t="str">
        <f>UPPER(Table1[[#This Row],[NAME2]])</f>
        <v>EHINDERO MATT</v>
      </c>
      <c r="E123" s="1" t="s">
        <v>255</v>
      </c>
      <c r="F123" s="1" t="s">
        <v>256</v>
      </c>
      <c r="G123" s="1" t="s">
        <v>13</v>
      </c>
      <c r="H123" s="1" t="s">
        <v>257</v>
      </c>
      <c r="I123" s="1" t="s">
        <v>15</v>
      </c>
      <c r="J123" s="9">
        <v>19</v>
      </c>
      <c r="K123" s="1" t="str">
        <f>IF(Table1[[#This Row],[AGE]]&lt;=18,"CHILD",IF(Table1[[#This Row],[AGE]]&lt;=20,"TEEN",IF(Table1[[#This Row],[AGE]]&lt;=40,"ADULT",IF(Table1[[#This Row],[AGE]]&lt;=60,"SENIOR CITIZEN","OLD CITIZEN"))))</f>
        <v>TEEN</v>
      </c>
      <c r="L123" s="1" t="s">
        <v>151</v>
      </c>
      <c r="M123" s="1" t="s">
        <v>17</v>
      </c>
      <c r="N123" s="13">
        <f>VLOOKUP(Table1[[#This Row],[TRANSACTION ID]],'Transaction ID Record'!$C$3:$D$510,2,FALSE)</f>
        <v>180766</v>
      </c>
    </row>
    <row r="124" spans="1:14" x14ac:dyDescent="0.35">
      <c r="A124" s="6" t="str">
        <f>TEXT(Table1[[#This Row],[DATE]],"MMMM")</f>
        <v>March</v>
      </c>
      <c r="B124" s="10">
        <v>44639</v>
      </c>
      <c r="C124" s="1" t="s">
        <v>334</v>
      </c>
      <c r="D124" s="1" t="str">
        <f>UPPER(Table1[[#This Row],[NAME2]])</f>
        <v>AKANTEYON KNOWLES</v>
      </c>
      <c r="E124" s="1" t="s">
        <v>335</v>
      </c>
      <c r="F124" s="1" t="s">
        <v>336</v>
      </c>
      <c r="G124" s="1" t="s">
        <v>13</v>
      </c>
      <c r="H124" s="1" t="s">
        <v>337</v>
      </c>
      <c r="I124" s="1" t="s">
        <v>30</v>
      </c>
      <c r="J124" s="9">
        <v>29</v>
      </c>
      <c r="K124" s="1" t="str">
        <f>IF(Table1[[#This Row],[AGE]]&lt;=18,"CHILD",IF(Table1[[#This Row],[AGE]]&lt;=20,"TEEN",IF(Table1[[#This Row],[AGE]]&lt;=40,"ADULT",IF(Table1[[#This Row],[AGE]]&lt;=60,"SENIOR CITIZEN","OLD CITIZEN"))))</f>
        <v>ADULT</v>
      </c>
      <c r="L124" s="1" t="s">
        <v>42</v>
      </c>
      <c r="M124" s="1" t="s">
        <v>25</v>
      </c>
      <c r="N124" s="13">
        <f>VLOOKUP(Table1[[#This Row],[TRANSACTION ID]],'Transaction ID Record'!$C$3:$D$510,2,FALSE)</f>
        <v>35531</v>
      </c>
    </row>
    <row r="125" spans="1:14" x14ac:dyDescent="0.35">
      <c r="A125" s="6" t="str">
        <f>TEXT(Table1[[#This Row],[DATE]],"MMMM")</f>
        <v>March</v>
      </c>
      <c r="B125" s="10">
        <v>44639</v>
      </c>
      <c r="C125" s="1" t="s">
        <v>338</v>
      </c>
      <c r="D125" s="1" t="str">
        <f>UPPER(Table1[[#This Row],[NAME2]])</f>
        <v>JERRY ELLIS</v>
      </c>
      <c r="E125" s="1" t="s">
        <v>339</v>
      </c>
      <c r="F125" s="1" t="s">
        <v>340</v>
      </c>
      <c r="G125" s="1" t="s">
        <v>13</v>
      </c>
      <c r="H125" s="1" t="s">
        <v>341</v>
      </c>
      <c r="I125" s="1" t="s">
        <v>23</v>
      </c>
      <c r="J125" s="9">
        <v>29</v>
      </c>
      <c r="K125" s="1" t="str">
        <f>IF(Table1[[#This Row],[AGE]]&lt;=18,"CHILD",IF(Table1[[#This Row],[AGE]]&lt;=20,"TEEN",IF(Table1[[#This Row],[AGE]]&lt;=40,"ADULT",IF(Table1[[#This Row],[AGE]]&lt;=60,"SENIOR CITIZEN","OLD CITIZEN"))))</f>
        <v>ADULT</v>
      </c>
      <c r="L125" s="1" t="s">
        <v>37</v>
      </c>
      <c r="M125" s="1" t="s">
        <v>32</v>
      </c>
      <c r="N125" s="13">
        <f>VLOOKUP(Table1[[#This Row],[TRANSACTION ID]],'Transaction ID Record'!$C$3:$D$510,2,FALSE)</f>
        <v>155800</v>
      </c>
    </row>
    <row r="126" spans="1:14" x14ac:dyDescent="0.35">
      <c r="A126" s="6" t="str">
        <f>TEXT(Table1[[#This Row],[DATE]],"MMMM")</f>
        <v>March</v>
      </c>
      <c r="B126" s="10">
        <v>44639</v>
      </c>
      <c r="C126" s="1" t="s">
        <v>342</v>
      </c>
      <c r="D126" s="1" t="str">
        <f>UPPER(Table1[[#This Row],[NAME2]])</f>
        <v>PETRA PANOVSKY</v>
      </c>
      <c r="E126" s="1" t="s">
        <v>343</v>
      </c>
      <c r="F126" s="1" t="s">
        <v>825</v>
      </c>
      <c r="G126" s="1" t="s">
        <v>21</v>
      </c>
      <c r="H126" s="1" t="s">
        <v>344</v>
      </c>
      <c r="I126" s="1" t="s">
        <v>15</v>
      </c>
      <c r="J126" s="9">
        <v>59</v>
      </c>
      <c r="K126" s="1" t="str">
        <f>IF(Table1[[#This Row],[AGE]]&lt;=18,"CHILD",IF(Table1[[#This Row],[AGE]]&lt;=20,"TEEN",IF(Table1[[#This Row],[AGE]]&lt;=40,"ADULT",IF(Table1[[#This Row],[AGE]]&lt;=60,"SENIOR CITIZEN","OLD CITIZEN"))))</f>
        <v>SENIOR CITIZEN</v>
      </c>
      <c r="L126" s="1" t="s">
        <v>31</v>
      </c>
      <c r="M126" s="1" t="s">
        <v>47</v>
      </c>
      <c r="N126" s="13">
        <f>VLOOKUP(Table1[[#This Row],[TRANSACTION ID]],'Transaction ID Record'!$C$3:$D$510,2,FALSE)</f>
        <v>103542</v>
      </c>
    </row>
    <row r="127" spans="1:14" x14ac:dyDescent="0.35">
      <c r="A127" s="6" t="str">
        <f>TEXT(Table1[[#This Row],[DATE]],"MMMM")</f>
        <v>March</v>
      </c>
      <c r="B127" s="10">
        <v>44641</v>
      </c>
      <c r="C127" s="1" t="s">
        <v>345</v>
      </c>
      <c r="D127" s="1" t="str">
        <f>UPPER(Table1[[#This Row],[NAME2]])</f>
        <v>MORGAN HERRIOT</v>
      </c>
      <c r="E127" s="1" t="s">
        <v>292</v>
      </c>
      <c r="F127" s="1" t="s">
        <v>822</v>
      </c>
      <c r="G127" s="1" t="s">
        <v>21</v>
      </c>
      <c r="H127" s="1" t="s">
        <v>293</v>
      </c>
      <c r="I127" s="1" t="s">
        <v>23</v>
      </c>
      <c r="J127" s="9">
        <v>37</v>
      </c>
      <c r="K127" s="1" t="str">
        <f>IF(Table1[[#This Row],[AGE]]&lt;=18,"CHILD",IF(Table1[[#This Row],[AGE]]&lt;=20,"TEEN",IF(Table1[[#This Row],[AGE]]&lt;=40,"ADULT",IF(Table1[[#This Row],[AGE]]&lt;=60,"SENIOR CITIZEN","OLD CITIZEN"))))</f>
        <v>ADULT</v>
      </c>
      <c r="L127" s="1" t="s">
        <v>16</v>
      </c>
      <c r="M127" s="1" t="s">
        <v>25</v>
      </c>
      <c r="N127" s="13">
        <f>VLOOKUP(Table1[[#This Row],[TRANSACTION ID]],'Transaction ID Record'!$C$3:$D$510,2,FALSE)</f>
        <v>13536</v>
      </c>
    </row>
    <row r="128" spans="1:14" x14ac:dyDescent="0.35">
      <c r="A128" s="6" t="str">
        <f>TEXT(Table1[[#This Row],[DATE]],"MMMM")</f>
        <v>March</v>
      </c>
      <c r="B128" s="10">
        <v>44641</v>
      </c>
      <c r="C128" s="1" t="s">
        <v>346</v>
      </c>
      <c r="D128" s="1" t="str">
        <f>UPPER(Table1[[#This Row],[NAME2]])</f>
        <v>RHONA MITCHELL</v>
      </c>
      <c r="E128" s="1" t="s">
        <v>19</v>
      </c>
      <c r="F128" s="1" t="s">
        <v>20</v>
      </c>
      <c r="G128" s="1" t="s">
        <v>21</v>
      </c>
      <c r="H128" s="1" t="s">
        <v>22</v>
      </c>
      <c r="I128" s="1" t="s">
        <v>23</v>
      </c>
      <c r="J128" s="9">
        <v>72</v>
      </c>
      <c r="K128" s="1" t="str">
        <f>IF(Table1[[#This Row],[AGE]]&lt;=18,"CHILD",IF(Table1[[#This Row],[AGE]]&lt;=20,"TEEN",IF(Table1[[#This Row],[AGE]]&lt;=40,"ADULT",IF(Table1[[#This Row],[AGE]]&lt;=60,"SENIOR CITIZEN","OLD CITIZEN"))))</f>
        <v>OLD CITIZEN</v>
      </c>
      <c r="L128" s="1" t="s">
        <v>37</v>
      </c>
      <c r="M128" s="1" t="s">
        <v>61</v>
      </c>
      <c r="N128" s="13">
        <f>VLOOKUP(Table1[[#This Row],[TRANSACTION ID]],'Transaction ID Record'!$C$3:$D$510,2,FALSE)</f>
        <v>159903</v>
      </c>
    </row>
    <row r="129" spans="1:14" x14ac:dyDescent="0.35">
      <c r="A129" s="6" t="str">
        <f>TEXT(Table1[[#This Row],[DATE]],"MMMM")</f>
        <v>March</v>
      </c>
      <c r="B129" s="10">
        <v>44641</v>
      </c>
      <c r="C129" s="1" t="s">
        <v>347</v>
      </c>
      <c r="D129" s="1" t="str">
        <f>UPPER(Table1[[#This Row],[NAME2]])</f>
        <v>JERRY ELLIS</v>
      </c>
      <c r="E129" s="1" t="s">
        <v>339</v>
      </c>
      <c r="F129" s="1" t="s">
        <v>340</v>
      </c>
      <c r="G129" s="1" t="s">
        <v>13</v>
      </c>
      <c r="H129" s="1" t="s">
        <v>341</v>
      </c>
      <c r="I129" s="1" t="s">
        <v>23</v>
      </c>
      <c r="J129" s="9">
        <v>29</v>
      </c>
      <c r="K129" s="1" t="str">
        <f>IF(Table1[[#This Row],[AGE]]&lt;=18,"CHILD",IF(Table1[[#This Row],[AGE]]&lt;=20,"TEEN",IF(Table1[[#This Row],[AGE]]&lt;=40,"ADULT",IF(Table1[[#This Row],[AGE]]&lt;=60,"SENIOR CITIZEN","OLD CITIZEN"))))</f>
        <v>ADULT</v>
      </c>
      <c r="L129" s="1" t="s">
        <v>167</v>
      </c>
      <c r="M129" s="1" t="s">
        <v>25</v>
      </c>
      <c r="N129" s="13">
        <f>VLOOKUP(Table1[[#This Row],[TRANSACTION ID]],'Transaction ID Record'!$C$3:$D$510,2,FALSE)</f>
        <v>140178</v>
      </c>
    </row>
    <row r="130" spans="1:14" x14ac:dyDescent="0.35">
      <c r="A130" s="6" t="str">
        <f>TEXT(Table1[[#This Row],[DATE]],"MMMM")</f>
        <v>March</v>
      </c>
      <c r="B130" s="10">
        <v>44643</v>
      </c>
      <c r="C130" s="1" t="s">
        <v>348</v>
      </c>
      <c r="D130" s="1" t="str">
        <f>UPPER(Table1[[#This Row],[NAME2]])</f>
        <v>FASINU ADAMS</v>
      </c>
      <c r="E130" s="1" t="s">
        <v>349</v>
      </c>
      <c r="F130" s="1" t="s">
        <v>350</v>
      </c>
      <c r="G130" s="1" t="s">
        <v>13</v>
      </c>
      <c r="H130" s="1" t="s">
        <v>351</v>
      </c>
      <c r="I130" s="1" t="s">
        <v>15</v>
      </c>
      <c r="J130" s="9">
        <v>50</v>
      </c>
      <c r="K130" s="1" t="str">
        <f>IF(Table1[[#This Row],[AGE]]&lt;=18,"CHILD",IF(Table1[[#This Row],[AGE]]&lt;=20,"TEEN",IF(Table1[[#This Row],[AGE]]&lt;=40,"ADULT",IF(Table1[[#This Row],[AGE]]&lt;=60,"SENIOR CITIZEN","OLD CITIZEN"))))</f>
        <v>SENIOR CITIZEN</v>
      </c>
      <c r="L130" s="1" t="s">
        <v>57</v>
      </c>
      <c r="M130" s="1" t="s">
        <v>47</v>
      </c>
      <c r="N130" s="13">
        <f>VLOOKUP(Table1[[#This Row],[TRANSACTION ID]],'Transaction ID Record'!$C$3:$D$510,2,FALSE)</f>
        <v>36354</v>
      </c>
    </row>
    <row r="131" spans="1:14" x14ac:dyDescent="0.35">
      <c r="A131" s="6" t="str">
        <f>TEXT(Table1[[#This Row],[DATE]],"MMMM")</f>
        <v>March</v>
      </c>
      <c r="B131" s="10">
        <v>44643</v>
      </c>
      <c r="C131" s="1" t="s">
        <v>352</v>
      </c>
      <c r="D131" s="1" t="str">
        <f>UPPER(Table1[[#This Row],[NAME2]])</f>
        <v>ADELEKE FITZPATRICK</v>
      </c>
      <c r="E131" s="1" t="s">
        <v>121</v>
      </c>
      <c r="F131" s="1" t="s">
        <v>122</v>
      </c>
      <c r="G131" s="1" t="s">
        <v>13</v>
      </c>
      <c r="H131" s="1" t="s">
        <v>123</v>
      </c>
      <c r="I131" s="1" t="s">
        <v>15</v>
      </c>
      <c r="J131" s="9">
        <v>59</v>
      </c>
      <c r="K131" s="1" t="str">
        <f>IF(Table1[[#This Row],[AGE]]&lt;=18,"CHILD",IF(Table1[[#This Row],[AGE]]&lt;=20,"TEEN",IF(Table1[[#This Row],[AGE]]&lt;=40,"ADULT",IF(Table1[[#This Row],[AGE]]&lt;=60,"SENIOR CITIZEN","OLD CITIZEN"))))</f>
        <v>SENIOR CITIZEN</v>
      </c>
      <c r="L131" s="1" t="s">
        <v>24</v>
      </c>
      <c r="M131" s="1" t="s">
        <v>17</v>
      </c>
      <c r="N131" s="13">
        <f>VLOOKUP(Table1[[#This Row],[TRANSACTION ID]],'Transaction ID Record'!$C$3:$D$510,2,FALSE)</f>
        <v>90011</v>
      </c>
    </row>
    <row r="132" spans="1:14" x14ac:dyDescent="0.35">
      <c r="A132" s="6" t="str">
        <f>TEXT(Table1[[#This Row],[DATE]],"MMMM")</f>
        <v>March</v>
      </c>
      <c r="B132" s="10">
        <v>44644</v>
      </c>
      <c r="C132" s="1" t="s">
        <v>353</v>
      </c>
      <c r="D132" s="1" t="str">
        <f>UPPER(Table1[[#This Row],[NAME2]])</f>
        <v>JELANI MCKINNEY</v>
      </c>
      <c r="E132" s="1" t="s">
        <v>241</v>
      </c>
      <c r="F132" s="1" t="s">
        <v>817</v>
      </c>
      <c r="G132" s="1" t="s">
        <v>21</v>
      </c>
      <c r="H132" s="1" t="s">
        <v>242</v>
      </c>
      <c r="I132" s="1" t="s">
        <v>30</v>
      </c>
      <c r="J132" s="9">
        <v>31</v>
      </c>
      <c r="K132" s="1" t="str">
        <f>IF(Table1[[#This Row],[AGE]]&lt;=18,"CHILD",IF(Table1[[#This Row],[AGE]]&lt;=20,"TEEN",IF(Table1[[#This Row],[AGE]]&lt;=40,"ADULT",IF(Table1[[#This Row],[AGE]]&lt;=60,"SENIOR CITIZEN","OLD CITIZEN"))))</f>
        <v>ADULT</v>
      </c>
      <c r="L132" s="1" t="s">
        <v>52</v>
      </c>
      <c r="M132" s="1" t="s">
        <v>32</v>
      </c>
      <c r="N132" s="13">
        <f>VLOOKUP(Table1[[#This Row],[TRANSACTION ID]],'Transaction ID Record'!$C$3:$D$510,2,FALSE)</f>
        <v>113224</v>
      </c>
    </row>
    <row r="133" spans="1:14" x14ac:dyDescent="0.35">
      <c r="A133" s="6" t="str">
        <f>TEXT(Table1[[#This Row],[DATE]],"MMMM")</f>
        <v>March</v>
      </c>
      <c r="B133" s="10">
        <v>44644</v>
      </c>
      <c r="C133" s="1" t="s">
        <v>354</v>
      </c>
      <c r="D133" s="1" t="str">
        <f>UPPER(Table1[[#This Row],[NAME2]])</f>
        <v>OLUDAISI JOHNSON</v>
      </c>
      <c r="E133" s="1" t="s">
        <v>259</v>
      </c>
      <c r="F133" s="1" t="s">
        <v>818</v>
      </c>
      <c r="G133" s="1" t="s">
        <v>21</v>
      </c>
      <c r="H133" s="1" t="s">
        <v>260</v>
      </c>
      <c r="I133" s="1" t="s">
        <v>30</v>
      </c>
      <c r="J133" s="9">
        <v>45</v>
      </c>
      <c r="K133" s="1" t="str">
        <f>IF(Table1[[#This Row],[AGE]]&lt;=18,"CHILD",IF(Table1[[#This Row],[AGE]]&lt;=20,"TEEN",IF(Table1[[#This Row],[AGE]]&lt;=40,"ADULT",IF(Table1[[#This Row],[AGE]]&lt;=60,"SENIOR CITIZEN","OLD CITIZEN"))))</f>
        <v>SENIOR CITIZEN</v>
      </c>
      <c r="L133" s="1" t="s">
        <v>66</v>
      </c>
      <c r="M133" s="1" t="s">
        <v>17</v>
      </c>
      <c r="N133" s="13">
        <f>VLOOKUP(Table1[[#This Row],[TRANSACTION ID]],'Transaction ID Record'!$C$3:$D$510,2,FALSE)</f>
        <v>164095</v>
      </c>
    </row>
    <row r="134" spans="1:14" x14ac:dyDescent="0.35">
      <c r="A134" s="6" t="str">
        <f>TEXT(Table1[[#This Row],[DATE]],"MMMM")</f>
        <v>March</v>
      </c>
      <c r="B134" s="10">
        <v>44644</v>
      </c>
      <c r="C134" s="1" t="s">
        <v>355</v>
      </c>
      <c r="D134" s="1" t="str">
        <f>UPPER(Table1[[#This Row],[NAME2]])</f>
        <v>NOBLE HICKS</v>
      </c>
      <c r="E134" s="1" t="s">
        <v>299</v>
      </c>
      <c r="F134" s="1" t="s">
        <v>300</v>
      </c>
      <c r="G134" s="1" t="s">
        <v>13</v>
      </c>
      <c r="H134" s="1" t="s">
        <v>301</v>
      </c>
      <c r="I134" s="1" t="s">
        <v>30</v>
      </c>
      <c r="J134" s="9">
        <v>76</v>
      </c>
      <c r="K134" s="1" t="str">
        <f>IF(Table1[[#This Row],[AGE]]&lt;=18,"CHILD",IF(Table1[[#This Row],[AGE]]&lt;=20,"TEEN",IF(Table1[[#This Row],[AGE]]&lt;=40,"ADULT",IF(Table1[[#This Row],[AGE]]&lt;=60,"SENIOR CITIZEN","OLD CITIZEN"))))</f>
        <v>OLD CITIZEN</v>
      </c>
      <c r="L134" s="1" t="s">
        <v>31</v>
      </c>
      <c r="M134" s="1" t="s">
        <v>61</v>
      </c>
      <c r="N134" s="13">
        <f>VLOOKUP(Table1[[#This Row],[TRANSACTION ID]],'Transaction ID Record'!$C$3:$D$510,2,FALSE)</f>
        <v>14739</v>
      </c>
    </row>
    <row r="135" spans="1:14" x14ac:dyDescent="0.35">
      <c r="A135" s="6" t="str">
        <f>TEXT(Table1[[#This Row],[DATE]],"MMMM")</f>
        <v>March</v>
      </c>
      <c r="B135" s="10">
        <v>44645</v>
      </c>
      <c r="C135" s="1" t="s">
        <v>356</v>
      </c>
      <c r="D135" s="1" t="str">
        <f>UPPER(Table1[[#This Row],[NAME2]])</f>
        <v>TAIBAT DENNIS</v>
      </c>
      <c r="E135" s="1" t="s">
        <v>327</v>
      </c>
      <c r="F135" s="1" t="s">
        <v>328</v>
      </c>
      <c r="G135" s="1" t="s">
        <v>13</v>
      </c>
      <c r="H135" s="1" t="s">
        <v>329</v>
      </c>
      <c r="I135" s="1" t="s">
        <v>23</v>
      </c>
      <c r="J135" s="9">
        <v>37</v>
      </c>
      <c r="K135" s="1" t="str">
        <f>IF(Table1[[#This Row],[AGE]]&lt;=18,"CHILD",IF(Table1[[#This Row],[AGE]]&lt;=20,"TEEN",IF(Table1[[#This Row],[AGE]]&lt;=40,"ADULT",IF(Table1[[#This Row],[AGE]]&lt;=60,"SENIOR CITIZEN","OLD CITIZEN"))))</f>
        <v>ADULT</v>
      </c>
      <c r="L135" s="1" t="s">
        <v>16</v>
      </c>
      <c r="M135" s="1" t="s">
        <v>25</v>
      </c>
      <c r="N135" s="13">
        <f>VLOOKUP(Table1[[#This Row],[TRANSACTION ID]],'Transaction ID Record'!$C$3:$D$510,2,FALSE)</f>
        <v>137611</v>
      </c>
    </row>
    <row r="136" spans="1:14" x14ac:dyDescent="0.35">
      <c r="A136" s="6" t="str">
        <f>TEXT(Table1[[#This Row],[DATE]],"MMMM")</f>
        <v>March</v>
      </c>
      <c r="B136" s="10">
        <v>44645</v>
      </c>
      <c r="C136" s="1" t="s">
        <v>357</v>
      </c>
      <c r="D136" s="1" t="str">
        <f>UPPER(Table1[[#This Row],[NAME2]])</f>
        <v>ODUMOSU DUKE</v>
      </c>
      <c r="E136" s="1" t="s">
        <v>59</v>
      </c>
      <c r="F136" s="1" t="s">
        <v>800</v>
      </c>
      <c r="G136" s="1" t="s">
        <v>13</v>
      </c>
      <c r="H136" s="1" t="s">
        <v>60</v>
      </c>
      <c r="I136" s="1" t="s">
        <v>15</v>
      </c>
      <c r="J136" s="9">
        <v>48</v>
      </c>
      <c r="K136" s="1" t="str">
        <f>IF(Table1[[#This Row],[AGE]]&lt;=18,"CHILD",IF(Table1[[#This Row],[AGE]]&lt;=20,"TEEN",IF(Table1[[#This Row],[AGE]]&lt;=40,"ADULT",IF(Table1[[#This Row],[AGE]]&lt;=60,"SENIOR CITIZEN","OLD CITIZEN"))))</f>
        <v>SENIOR CITIZEN</v>
      </c>
      <c r="L136" s="1" t="s">
        <v>42</v>
      </c>
      <c r="M136" s="1" t="s">
        <v>47</v>
      </c>
      <c r="N136" s="13">
        <f>VLOOKUP(Table1[[#This Row],[TRANSACTION ID]],'Transaction ID Record'!$C$3:$D$510,2,FALSE)</f>
        <v>76925</v>
      </c>
    </row>
    <row r="137" spans="1:14" x14ac:dyDescent="0.35">
      <c r="A137" s="6" t="str">
        <f>TEXT(Table1[[#This Row],[DATE]],"MMMM")</f>
        <v>March</v>
      </c>
      <c r="B137" s="10">
        <v>44646</v>
      </c>
      <c r="C137" s="1" t="s">
        <v>358</v>
      </c>
      <c r="D137" s="1" t="str">
        <f>UPPER(Table1[[#This Row],[NAME2]])</f>
        <v>PETRA PANOVSKY</v>
      </c>
      <c r="E137" s="1" t="s">
        <v>343</v>
      </c>
      <c r="F137" s="1" t="s">
        <v>825</v>
      </c>
      <c r="G137" s="1" t="s">
        <v>21</v>
      </c>
      <c r="H137" s="1" t="s">
        <v>344</v>
      </c>
      <c r="I137" s="1" t="s">
        <v>15</v>
      </c>
      <c r="J137" s="9">
        <v>59</v>
      </c>
      <c r="K137" s="1" t="str">
        <f>IF(Table1[[#This Row],[AGE]]&lt;=18,"CHILD",IF(Table1[[#This Row],[AGE]]&lt;=20,"TEEN",IF(Table1[[#This Row],[AGE]]&lt;=40,"ADULT",IF(Table1[[#This Row],[AGE]]&lt;=60,"SENIOR CITIZEN","OLD CITIZEN"))))</f>
        <v>SENIOR CITIZEN</v>
      </c>
      <c r="L137" s="1" t="s">
        <v>42</v>
      </c>
      <c r="M137" s="1" t="s">
        <v>25</v>
      </c>
      <c r="N137" s="13">
        <f>VLOOKUP(Table1[[#This Row],[TRANSACTION ID]],'Transaction ID Record'!$C$3:$D$510,2,FALSE)</f>
        <v>35323</v>
      </c>
    </row>
    <row r="138" spans="1:14" x14ac:dyDescent="0.35">
      <c r="A138" s="6" t="str">
        <f>TEXT(Table1[[#This Row],[DATE]],"MMMM")</f>
        <v>March</v>
      </c>
      <c r="B138" s="10">
        <v>44646</v>
      </c>
      <c r="C138" s="1" t="s">
        <v>359</v>
      </c>
      <c r="D138" s="1" t="str">
        <f>UPPER(Table1[[#This Row],[NAME2]])</f>
        <v>BRYNNE NANKAM</v>
      </c>
      <c r="E138" s="1" t="s">
        <v>104</v>
      </c>
      <c r="F138" s="1" t="s">
        <v>806</v>
      </c>
      <c r="G138" s="1" t="s">
        <v>13</v>
      </c>
      <c r="H138" s="1" t="s">
        <v>105</v>
      </c>
      <c r="I138" s="1" t="s">
        <v>30</v>
      </c>
      <c r="J138" s="9">
        <v>64</v>
      </c>
      <c r="K138" s="1" t="str">
        <f>IF(Table1[[#This Row],[AGE]]&lt;=18,"CHILD",IF(Table1[[#This Row],[AGE]]&lt;=20,"TEEN",IF(Table1[[#This Row],[AGE]]&lt;=40,"ADULT",IF(Table1[[#This Row],[AGE]]&lt;=60,"SENIOR CITIZEN","OLD CITIZEN"))))</f>
        <v>OLD CITIZEN</v>
      </c>
      <c r="L138" s="1" t="s">
        <v>167</v>
      </c>
      <c r="M138" s="1" t="s">
        <v>17</v>
      </c>
      <c r="N138" s="13">
        <f>VLOOKUP(Table1[[#This Row],[TRANSACTION ID]],'Transaction ID Record'!$C$3:$D$510,2,FALSE)</f>
        <v>128691</v>
      </c>
    </row>
    <row r="139" spans="1:14" x14ac:dyDescent="0.35">
      <c r="A139" s="6" t="str">
        <f>TEXT(Table1[[#This Row],[DATE]],"MMMM")</f>
        <v>March</v>
      </c>
      <c r="B139" s="10">
        <v>44647</v>
      </c>
      <c r="C139" s="1" t="s">
        <v>360</v>
      </c>
      <c r="D139" s="1" t="str">
        <f>UPPER(Table1[[#This Row],[NAME2]])</f>
        <v>FLETCHER MERRITT</v>
      </c>
      <c r="E139" s="1" t="s">
        <v>361</v>
      </c>
      <c r="F139" s="1" t="s">
        <v>362</v>
      </c>
      <c r="G139" s="1" t="s">
        <v>21</v>
      </c>
      <c r="H139" s="1" t="s">
        <v>363</v>
      </c>
      <c r="I139" s="1" t="s">
        <v>15</v>
      </c>
      <c r="J139" s="9">
        <v>66</v>
      </c>
      <c r="K139" s="1" t="str">
        <f>IF(Table1[[#This Row],[AGE]]&lt;=18,"CHILD",IF(Table1[[#This Row],[AGE]]&lt;=20,"TEEN",IF(Table1[[#This Row],[AGE]]&lt;=40,"ADULT",IF(Table1[[#This Row],[AGE]]&lt;=60,"SENIOR CITIZEN","OLD CITIZEN"))))</f>
        <v>OLD CITIZEN</v>
      </c>
      <c r="L139" s="1" t="s">
        <v>42</v>
      </c>
      <c r="M139" s="1" t="s">
        <v>47</v>
      </c>
      <c r="N139" s="13">
        <f>VLOOKUP(Table1[[#This Row],[TRANSACTION ID]],'Transaction ID Record'!$C$3:$D$510,2,FALSE)</f>
        <v>108529</v>
      </c>
    </row>
    <row r="140" spans="1:14" x14ac:dyDescent="0.35">
      <c r="A140" s="6" t="str">
        <f>TEXT(Table1[[#This Row],[DATE]],"MMMM")</f>
        <v>March</v>
      </c>
      <c r="B140" s="10">
        <v>44648</v>
      </c>
      <c r="C140" s="1" t="s">
        <v>364</v>
      </c>
      <c r="D140" s="1" t="str">
        <f>UPPER(Table1[[#This Row],[NAME2]])</f>
        <v>NOEL MACK</v>
      </c>
      <c r="E140" s="1" t="s">
        <v>275</v>
      </c>
      <c r="F140" s="1" t="s">
        <v>276</v>
      </c>
      <c r="G140" s="1" t="s">
        <v>13</v>
      </c>
      <c r="H140" s="1" t="s">
        <v>277</v>
      </c>
      <c r="I140" s="1" t="s">
        <v>30</v>
      </c>
      <c r="J140" s="9">
        <v>64</v>
      </c>
      <c r="K140" s="1" t="str">
        <f>IF(Table1[[#This Row],[AGE]]&lt;=18,"CHILD",IF(Table1[[#This Row],[AGE]]&lt;=20,"TEEN",IF(Table1[[#This Row],[AGE]]&lt;=40,"ADULT",IF(Table1[[#This Row],[AGE]]&lt;=60,"SENIOR CITIZEN","OLD CITIZEN"))))</f>
        <v>OLD CITIZEN</v>
      </c>
      <c r="L140" s="1" t="s">
        <v>37</v>
      </c>
      <c r="M140" s="1" t="s">
        <v>17</v>
      </c>
      <c r="N140" s="13">
        <f>VLOOKUP(Table1[[#This Row],[TRANSACTION ID]],'Transaction ID Record'!$C$3:$D$510,2,FALSE)</f>
        <v>121132</v>
      </c>
    </row>
    <row r="141" spans="1:14" x14ac:dyDescent="0.35">
      <c r="A141" s="6" t="str">
        <f>TEXT(Table1[[#This Row],[DATE]],"MMMM")</f>
        <v>March</v>
      </c>
      <c r="B141" s="10">
        <v>44648</v>
      </c>
      <c r="C141" s="1" t="s">
        <v>365</v>
      </c>
      <c r="D141" s="1" t="str">
        <f>UPPER(Table1[[#This Row],[NAME2]])</f>
        <v>OLAYINKA CANINI</v>
      </c>
      <c r="E141" s="1" t="s">
        <v>319</v>
      </c>
      <c r="F141" s="1" t="s">
        <v>823</v>
      </c>
      <c r="G141" s="1" t="s">
        <v>21</v>
      </c>
      <c r="H141" s="1" t="s">
        <v>320</v>
      </c>
      <c r="I141" s="1" t="s">
        <v>30</v>
      </c>
      <c r="J141" s="9">
        <v>45</v>
      </c>
      <c r="K141" s="1" t="str">
        <f>IF(Table1[[#This Row],[AGE]]&lt;=18,"CHILD",IF(Table1[[#This Row],[AGE]]&lt;=20,"TEEN",IF(Table1[[#This Row],[AGE]]&lt;=40,"ADULT",IF(Table1[[#This Row],[AGE]]&lt;=60,"SENIOR CITIZEN","OLD CITIZEN"))))</f>
        <v>SENIOR CITIZEN</v>
      </c>
      <c r="L141" s="1" t="s">
        <v>66</v>
      </c>
      <c r="M141" s="1" t="s">
        <v>47</v>
      </c>
      <c r="N141" s="13">
        <f>VLOOKUP(Table1[[#This Row],[TRANSACTION ID]],'Transaction ID Record'!$C$3:$D$510,2,FALSE)</f>
        <v>19802</v>
      </c>
    </row>
    <row r="142" spans="1:14" x14ac:dyDescent="0.35">
      <c r="A142" s="6" t="str">
        <f>TEXT(Table1[[#This Row],[DATE]],"MMMM")</f>
        <v>March</v>
      </c>
      <c r="B142" s="10">
        <v>44651</v>
      </c>
      <c r="C142" s="1" t="s">
        <v>366</v>
      </c>
      <c r="D142" s="1" t="str">
        <f>UPPER(Table1[[#This Row],[NAME2]])</f>
        <v>ADEBOLA EZICHI</v>
      </c>
      <c r="E142" s="1" t="s">
        <v>137</v>
      </c>
      <c r="F142" s="1" t="s">
        <v>138</v>
      </c>
      <c r="G142" s="1" t="s">
        <v>21</v>
      </c>
      <c r="H142" s="1" t="s">
        <v>139</v>
      </c>
      <c r="I142" s="1" t="s">
        <v>15</v>
      </c>
      <c r="J142" s="9">
        <v>37</v>
      </c>
      <c r="K142" s="1" t="str">
        <f>IF(Table1[[#This Row],[AGE]]&lt;=18,"CHILD",IF(Table1[[#This Row],[AGE]]&lt;=20,"TEEN",IF(Table1[[#This Row],[AGE]]&lt;=40,"ADULT",IF(Table1[[#This Row],[AGE]]&lt;=60,"SENIOR CITIZEN","OLD CITIZEN"))))</f>
        <v>ADULT</v>
      </c>
      <c r="L142" s="1" t="s">
        <v>52</v>
      </c>
      <c r="M142" s="1" t="s">
        <v>47</v>
      </c>
      <c r="N142" s="13">
        <f>VLOOKUP(Table1[[#This Row],[TRANSACTION ID]],'Transaction ID Record'!$C$3:$D$510,2,FALSE)</f>
        <v>137367</v>
      </c>
    </row>
    <row r="143" spans="1:14" x14ac:dyDescent="0.35">
      <c r="A143" s="6" t="str">
        <f>TEXT(Table1[[#This Row],[DATE]],"MMMM")</f>
        <v>March</v>
      </c>
      <c r="B143" s="10">
        <v>44651</v>
      </c>
      <c r="C143" s="1" t="s">
        <v>367</v>
      </c>
      <c r="D143" s="1" t="str">
        <f>UPPER(Table1[[#This Row],[NAME2]])</f>
        <v>EMERSON PANOVSKY</v>
      </c>
      <c r="E143" s="1" t="s">
        <v>75</v>
      </c>
      <c r="F143" s="1" t="s">
        <v>76</v>
      </c>
      <c r="G143" s="1" t="s">
        <v>21</v>
      </c>
      <c r="H143" s="1" t="s">
        <v>77</v>
      </c>
      <c r="I143" s="1" t="s">
        <v>30</v>
      </c>
      <c r="J143" s="9">
        <v>19</v>
      </c>
      <c r="K143" s="1" t="str">
        <f>IF(Table1[[#This Row],[AGE]]&lt;=18,"CHILD",IF(Table1[[#This Row],[AGE]]&lt;=20,"TEEN",IF(Table1[[#This Row],[AGE]]&lt;=40,"ADULT",IF(Table1[[#This Row],[AGE]]&lt;=60,"SENIOR CITIZEN","OLD CITIZEN"))))</f>
        <v>TEEN</v>
      </c>
      <c r="L143" s="1" t="s">
        <v>167</v>
      </c>
      <c r="M143" s="1" t="s">
        <v>47</v>
      </c>
      <c r="N143" s="13">
        <f>VLOOKUP(Table1[[#This Row],[TRANSACTION ID]],'Transaction ID Record'!$C$3:$D$510,2,FALSE)</f>
        <v>68623</v>
      </c>
    </row>
    <row r="144" spans="1:14" x14ac:dyDescent="0.35">
      <c r="A144" s="6" t="str">
        <f>TEXT(Table1[[#This Row],[DATE]],"MMMM")</f>
        <v>April</v>
      </c>
      <c r="B144" s="10">
        <v>44652</v>
      </c>
      <c r="C144" s="1" t="s">
        <v>368</v>
      </c>
      <c r="D144" s="1" t="str">
        <f>UPPER(Table1[[#This Row],[NAME2]])</f>
        <v>THOMAS BYRD</v>
      </c>
      <c r="E144" s="1" t="s">
        <v>369</v>
      </c>
      <c r="F144" s="1" t="s">
        <v>826</v>
      </c>
      <c r="G144" s="1" t="s">
        <v>13</v>
      </c>
      <c r="H144" s="1" t="s">
        <v>370</v>
      </c>
      <c r="I144" s="1" t="s">
        <v>30</v>
      </c>
      <c r="J144" s="9">
        <v>32</v>
      </c>
      <c r="K144" s="1" t="str">
        <f>IF(Table1[[#This Row],[AGE]]&lt;=18,"CHILD",IF(Table1[[#This Row],[AGE]]&lt;=20,"TEEN",IF(Table1[[#This Row],[AGE]]&lt;=40,"ADULT",IF(Table1[[#This Row],[AGE]]&lt;=60,"SENIOR CITIZEN","OLD CITIZEN"))))</f>
        <v>ADULT</v>
      </c>
      <c r="L144" s="1" t="s">
        <v>31</v>
      </c>
      <c r="M144" s="1" t="s">
        <v>17</v>
      </c>
      <c r="N144" s="13">
        <f>VLOOKUP(Table1[[#This Row],[TRANSACTION ID]],'Transaction ID Record'!$C$3:$D$510,2,FALSE)</f>
        <v>114250</v>
      </c>
    </row>
    <row r="145" spans="1:14" x14ac:dyDescent="0.35">
      <c r="A145" s="6" t="str">
        <f>TEXT(Table1[[#This Row],[DATE]],"MMMM")</f>
        <v>April</v>
      </c>
      <c r="B145" s="10">
        <v>44653</v>
      </c>
      <c r="C145" s="1" t="s">
        <v>371</v>
      </c>
      <c r="D145" s="1" t="str">
        <f>UPPER(Table1[[#This Row],[NAME2]])</f>
        <v>ATHENA MACDONALD</v>
      </c>
      <c r="E145" s="1" t="s">
        <v>169</v>
      </c>
      <c r="F145" s="1" t="s">
        <v>170</v>
      </c>
      <c r="G145" s="1" t="s">
        <v>13</v>
      </c>
      <c r="H145" s="1" t="s">
        <v>171</v>
      </c>
      <c r="I145" s="1" t="s">
        <v>30</v>
      </c>
      <c r="J145" s="9">
        <v>29</v>
      </c>
      <c r="K145" s="1" t="str">
        <f>IF(Table1[[#This Row],[AGE]]&lt;=18,"CHILD",IF(Table1[[#This Row],[AGE]]&lt;=20,"TEEN",IF(Table1[[#This Row],[AGE]]&lt;=40,"ADULT",IF(Table1[[#This Row],[AGE]]&lt;=60,"SENIOR CITIZEN","OLD CITIZEN"))))</f>
        <v>ADULT</v>
      </c>
      <c r="L145" s="1" t="s">
        <v>42</v>
      </c>
      <c r="M145" s="1" t="s">
        <v>61</v>
      </c>
      <c r="N145" s="13">
        <f>VLOOKUP(Table1[[#This Row],[TRANSACTION ID]],'Transaction ID Record'!$C$3:$D$510,2,FALSE)</f>
        <v>138550</v>
      </c>
    </row>
    <row r="146" spans="1:14" x14ac:dyDescent="0.35">
      <c r="A146" s="6" t="str">
        <f>TEXT(Table1[[#This Row],[DATE]],"MMMM")</f>
        <v>April</v>
      </c>
      <c r="B146" s="10">
        <v>44654</v>
      </c>
      <c r="C146" s="1" t="s">
        <v>372</v>
      </c>
      <c r="D146" s="1" t="str">
        <f>UPPER(Table1[[#This Row],[NAME2]])</f>
        <v>EMERSON PANOVSKY</v>
      </c>
      <c r="E146" s="1" t="s">
        <v>75</v>
      </c>
      <c r="F146" s="1" t="s">
        <v>76</v>
      </c>
      <c r="G146" s="1" t="s">
        <v>21</v>
      </c>
      <c r="H146" s="1" t="s">
        <v>77</v>
      </c>
      <c r="I146" s="1" t="s">
        <v>30</v>
      </c>
      <c r="J146" s="9">
        <v>19</v>
      </c>
      <c r="K146" s="1" t="str">
        <f>IF(Table1[[#This Row],[AGE]]&lt;=18,"CHILD",IF(Table1[[#This Row],[AGE]]&lt;=20,"TEEN",IF(Table1[[#This Row],[AGE]]&lt;=40,"ADULT",IF(Table1[[#This Row],[AGE]]&lt;=60,"SENIOR CITIZEN","OLD CITIZEN"))))</f>
        <v>TEEN</v>
      </c>
      <c r="L146" s="1" t="s">
        <v>37</v>
      </c>
      <c r="M146" s="1" t="s">
        <v>47</v>
      </c>
      <c r="N146" s="13">
        <f>VLOOKUP(Table1[[#This Row],[TRANSACTION ID]],'Transaction ID Record'!$C$3:$D$510,2,FALSE)</f>
        <v>41060</v>
      </c>
    </row>
    <row r="147" spans="1:14" x14ac:dyDescent="0.35">
      <c r="A147" s="6" t="str">
        <f>TEXT(Table1[[#This Row],[DATE]],"MMMM")</f>
        <v>April</v>
      </c>
      <c r="B147" s="10">
        <v>44654</v>
      </c>
      <c r="C147" s="1" t="s">
        <v>373</v>
      </c>
      <c r="D147" s="1" t="str">
        <f>UPPER(Table1[[#This Row],[NAME2]])</f>
        <v>ADENIYI TILLMAN</v>
      </c>
      <c r="E147" s="1" t="s">
        <v>178</v>
      </c>
      <c r="F147" s="1" t="s">
        <v>179</v>
      </c>
      <c r="G147" s="1" t="s">
        <v>13</v>
      </c>
      <c r="H147" s="1" t="s">
        <v>180</v>
      </c>
      <c r="I147" s="1" t="s">
        <v>30</v>
      </c>
      <c r="J147" s="9">
        <v>63</v>
      </c>
      <c r="K147" s="1" t="str">
        <f>IF(Table1[[#This Row],[AGE]]&lt;=18,"CHILD",IF(Table1[[#This Row],[AGE]]&lt;=20,"TEEN",IF(Table1[[#This Row],[AGE]]&lt;=40,"ADULT",IF(Table1[[#This Row],[AGE]]&lt;=60,"SENIOR CITIZEN","OLD CITIZEN"))))</f>
        <v>OLD CITIZEN</v>
      </c>
      <c r="L147" s="1" t="s">
        <v>31</v>
      </c>
      <c r="M147" s="1" t="s">
        <v>32</v>
      </c>
      <c r="N147" s="13">
        <f>VLOOKUP(Table1[[#This Row],[TRANSACTION ID]],'Transaction ID Record'!$C$3:$D$510,2,FALSE)</f>
        <v>36499</v>
      </c>
    </row>
    <row r="148" spans="1:14" x14ac:dyDescent="0.35">
      <c r="A148" s="6" t="str">
        <f>TEXT(Table1[[#This Row],[DATE]],"MMMM")</f>
        <v>April</v>
      </c>
      <c r="B148" s="10">
        <v>44655</v>
      </c>
      <c r="C148" s="1" t="s">
        <v>374</v>
      </c>
      <c r="D148" s="1" t="str">
        <f>UPPER(Table1[[#This Row],[NAME2]])</f>
        <v>ELEANOR DUANE</v>
      </c>
      <c r="E148" s="1" t="s">
        <v>375</v>
      </c>
      <c r="F148" s="1" t="s">
        <v>376</v>
      </c>
      <c r="G148" s="1" t="s">
        <v>13</v>
      </c>
      <c r="H148" s="1" t="s">
        <v>377</v>
      </c>
      <c r="I148" s="1" t="s">
        <v>15</v>
      </c>
      <c r="J148" s="9">
        <v>35</v>
      </c>
      <c r="K148" s="1" t="str">
        <f>IF(Table1[[#This Row],[AGE]]&lt;=18,"CHILD",IF(Table1[[#This Row],[AGE]]&lt;=20,"TEEN",IF(Table1[[#This Row],[AGE]]&lt;=40,"ADULT",IF(Table1[[#This Row],[AGE]]&lt;=60,"SENIOR CITIZEN","OLD CITIZEN"))))</f>
        <v>ADULT</v>
      </c>
      <c r="L148" s="1" t="s">
        <v>42</v>
      </c>
      <c r="M148" s="1" t="s">
        <v>25</v>
      </c>
      <c r="N148" s="13">
        <f>VLOOKUP(Table1[[#This Row],[TRANSACTION ID]],'Transaction ID Record'!$C$3:$D$510,2,FALSE)</f>
        <v>181930</v>
      </c>
    </row>
    <row r="149" spans="1:14" x14ac:dyDescent="0.35">
      <c r="A149" s="6" t="str">
        <f>TEXT(Table1[[#This Row],[DATE]],"MMMM")</f>
        <v>April</v>
      </c>
      <c r="B149" s="10">
        <v>44656</v>
      </c>
      <c r="C149" s="1" t="s">
        <v>378</v>
      </c>
      <c r="D149" s="1" t="str">
        <f>UPPER(Table1[[#This Row],[NAME2]])</f>
        <v>ADEBOLA SOLIS</v>
      </c>
      <c r="E149" s="1" t="s">
        <v>244</v>
      </c>
      <c r="F149" s="1" t="s">
        <v>245</v>
      </c>
      <c r="G149" s="1" t="s">
        <v>21</v>
      </c>
      <c r="H149" s="1" t="s">
        <v>246</v>
      </c>
      <c r="I149" s="1" t="s">
        <v>15</v>
      </c>
      <c r="J149" s="9">
        <v>29</v>
      </c>
      <c r="K149" s="1" t="str">
        <f>IF(Table1[[#This Row],[AGE]]&lt;=18,"CHILD",IF(Table1[[#This Row],[AGE]]&lt;=20,"TEEN",IF(Table1[[#This Row],[AGE]]&lt;=40,"ADULT",IF(Table1[[#This Row],[AGE]]&lt;=60,"SENIOR CITIZEN","OLD CITIZEN"))))</f>
        <v>ADULT</v>
      </c>
      <c r="L149" s="1" t="s">
        <v>66</v>
      </c>
      <c r="M149" s="1" t="s">
        <v>25</v>
      </c>
      <c r="N149" s="13">
        <f>VLOOKUP(Table1[[#This Row],[TRANSACTION ID]],'Transaction ID Record'!$C$3:$D$510,2,FALSE)</f>
        <v>100451</v>
      </c>
    </row>
    <row r="150" spans="1:14" x14ac:dyDescent="0.35">
      <c r="A150" s="6" t="str">
        <f>TEXT(Table1[[#This Row],[DATE]],"MMMM")</f>
        <v>April</v>
      </c>
      <c r="B150" s="10">
        <v>44657</v>
      </c>
      <c r="C150" s="1" t="s">
        <v>379</v>
      </c>
      <c r="D150" s="1" t="str">
        <f>UPPER(Table1[[#This Row],[NAME2]])</f>
        <v>AYO EZICHI</v>
      </c>
      <c r="E150" s="1" t="s">
        <v>269</v>
      </c>
      <c r="F150" s="1" t="s">
        <v>819</v>
      </c>
      <c r="G150" s="1" t="s">
        <v>13</v>
      </c>
      <c r="H150" s="1" t="s">
        <v>270</v>
      </c>
      <c r="I150" s="1" t="s">
        <v>15</v>
      </c>
      <c r="J150" s="9">
        <v>40</v>
      </c>
      <c r="K150" s="1" t="str">
        <f>IF(Table1[[#This Row],[AGE]]&lt;=18,"CHILD",IF(Table1[[#This Row],[AGE]]&lt;=20,"TEEN",IF(Table1[[#This Row],[AGE]]&lt;=40,"ADULT",IF(Table1[[#This Row],[AGE]]&lt;=60,"SENIOR CITIZEN","OLD CITIZEN"))))</f>
        <v>ADULT</v>
      </c>
      <c r="L150" s="1" t="s">
        <v>16</v>
      </c>
      <c r="M150" s="1" t="s">
        <v>17</v>
      </c>
      <c r="N150" s="13">
        <f>VLOOKUP(Table1[[#This Row],[TRANSACTION ID]],'Transaction ID Record'!$C$3:$D$510,2,FALSE)</f>
        <v>153888</v>
      </c>
    </row>
    <row r="151" spans="1:14" x14ac:dyDescent="0.35">
      <c r="A151" s="6" t="str">
        <f>TEXT(Table1[[#This Row],[DATE]],"MMMM")</f>
        <v>April</v>
      </c>
      <c r="B151" s="10">
        <v>44658</v>
      </c>
      <c r="C151" s="1" t="s">
        <v>380</v>
      </c>
      <c r="D151" s="1" t="str">
        <f>UPPER(Table1[[#This Row],[NAME2]])</f>
        <v>ODUMOSU MCCLURE</v>
      </c>
      <c r="E151" s="1" t="s">
        <v>63</v>
      </c>
      <c r="F151" s="1" t="s">
        <v>64</v>
      </c>
      <c r="G151" s="1" t="s">
        <v>13</v>
      </c>
      <c r="H151" s="1" t="s">
        <v>65</v>
      </c>
      <c r="I151" s="1" t="s">
        <v>15</v>
      </c>
      <c r="J151" s="9">
        <v>60</v>
      </c>
      <c r="K151" s="1" t="str">
        <f>IF(Table1[[#This Row],[AGE]]&lt;=18,"CHILD",IF(Table1[[#This Row],[AGE]]&lt;=20,"TEEN",IF(Table1[[#This Row],[AGE]]&lt;=40,"ADULT",IF(Table1[[#This Row],[AGE]]&lt;=60,"SENIOR CITIZEN","OLD CITIZEN"))))</f>
        <v>SENIOR CITIZEN</v>
      </c>
      <c r="L151" s="1" t="s">
        <v>24</v>
      </c>
      <c r="M151" s="1" t="s">
        <v>47</v>
      </c>
      <c r="N151" s="13">
        <f>VLOOKUP(Table1[[#This Row],[TRANSACTION ID]],'Transaction ID Record'!$C$3:$D$510,2,FALSE)</f>
        <v>138007</v>
      </c>
    </row>
    <row r="152" spans="1:14" x14ac:dyDescent="0.35">
      <c r="A152" s="6" t="str">
        <f>TEXT(Table1[[#This Row],[DATE]],"MMMM")</f>
        <v>April</v>
      </c>
      <c r="B152" s="10">
        <v>44659</v>
      </c>
      <c r="C152" s="1" t="s">
        <v>381</v>
      </c>
      <c r="D152" s="1" t="str">
        <f>UPPER(Table1[[#This Row],[NAME2]])</f>
        <v>SAHEED WARNER</v>
      </c>
      <c r="E152" s="1" t="s">
        <v>382</v>
      </c>
      <c r="F152" s="1" t="s">
        <v>383</v>
      </c>
      <c r="G152" s="1" t="s">
        <v>21</v>
      </c>
      <c r="H152" s="1" t="s">
        <v>384</v>
      </c>
      <c r="I152" s="1" t="s">
        <v>30</v>
      </c>
      <c r="J152" s="9">
        <v>72</v>
      </c>
      <c r="K152" s="1" t="str">
        <f>IF(Table1[[#This Row],[AGE]]&lt;=18,"CHILD",IF(Table1[[#This Row],[AGE]]&lt;=20,"TEEN",IF(Table1[[#This Row],[AGE]]&lt;=40,"ADULT",IF(Table1[[#This Row],[AGE]]&lt;=60,"SENIOR CITIZEN","OLD CITIZEN"))))</f>
        <v>OLD CITIZEN</v>
      </c>
      <c r="L152" s="1" t="s">
        <v>31</v>
      </c>
      <c r="M152" s="1" t="s">
        <v>47</v>
      </c>
      <c r="N152" s="13">
        <f>VLOOKUP(Table1[[#This Row],[TRANSACTION ID]],'Transaction ID Record'!$C$3:$D$510,2,FALSE)</f>
        <v>46472</v>
      </c>
    </row>
    <row r="153" spans="1:14" x14ac:dyDescent="0.35">
      <c r="A153" s="6" t="str">
        <f>TEXT(Table1[[#This Row],[DATE]],"MMMM")</f>
        <v>April</v>
      </c>
      <c r="B153" s="10">
        <v>44659</v>
      </c>
      <c r="C153" s="1" t="s">
        <v>385</v>
      </c>
      <c r="D153" s="1" t="str">
        <f>UPPER(Table1[[#This Row],[NAME2]])</f>
        <v>OLAOGUN KIDD</v>
      </c>
      <c r="E153" s="1" t="s">
        <v>133</v>
      </c>
      <c r="F153" s="1" t="s">
        <v>134</v>
      </c>
      <c r="G153" s="1" t="s">
        <v>13</v>
      </c>
      <c r="H153" s="1" t="s">
        <v>135</v>
      </c>
      <c r="I153" s="1" t="s">
        <v>23</v>
      </c>
      <c r="J153" s="9">
        <v>68</v>
      </c>
      <c r="K153" s="1" t="str">
        <f>IF(Table1[[#This Row],[AGE]]&lt;=18,"CHILD",IF(Table1[[#This Row],[AGE]]&lt;=20,"TEEN",IF(Table1[[#This Row],[AGE]]&lt;=40,"ADULT",IF(Table1[[#This Row],[AGE]]&lt;=60,"SENIOR CITIZEN","OLD CITIZEN"))))</f>
        <v>OLD CITIZEN</v>
      </c>
      <c r="L153" s="1" t="s">
        <v>42</v>
      </c>
      <c r="M153" s="1" t="s">
        <v>47</v>
      </c>
      <c r="N153" s="13">
        <f>VLOOKUP(Table1[[#This Row],[TRANSACTION ID]],'Transaction ID Record'!$C$3:$D$510,2,FALSE)</f>
        <v>98239</v>
      </c>
    </row>
    <row r="154" spans="1:14" x14ac:dyDescent="0.35">
      <c r="A154" s="6" t="str">
        <f>TEXT(Table1[[#This Row],[DATE]],"MMMM")</f>
        <v>April</v>
      </c>
      <c r="B154" s="10">
        <v>44660</v>
      </c>
      <c r="C154" s="1" t="s">
        <v>386</v>
      </c>
      <c r="D154" s="1" t="str">
        <f>UPPER(Table1[[#This Row],[NAME2]])</f>
        <v>SAHEED WARNER</v>
      </c>
      <c r="E154" s="1" t="s">
        <v>382</v>
      </c>
      <c r="F154" s="1" t="s">
        <v>383</v>
      </c>
      <c r="G154" s="1" t="s">
        <v>21</v>
      </c>
      <c r="H154" s="1" t="s">
        <v>384</v>
      </c>
      <c r="I154" s="1" t="s">
        <v>30</v>
      </c>
      <c r="J154" s="9">
        <v>72</v>
      </c>
      <c r="K154" s="1" t="str">
        <f>IF(Table1[[#This Row],[AGE]]&lt;=18,"CHILD",IF(Table1[[#This Row],[AGE]]&lt;=20,"TEEN",IF(Table1[[#This Row],[AGE]]&lt;=40,"ADULT",IF(Table1[[#This Row],[AGE]]&lt;=60,"SENIOR CITIZEN","OLD CITIZEN"))))</f>
        <v>OLD CITIZEN</v>
      </c>
      <c r="L154" s="1" t="s">
        <v>57</v>
      </c>
      <c r="M154" s="1" t="s">
        <v>32</v>
      </c>
      <c r="N154" s="13">
        <f>VLOOKUP(Table1[[#This Row],[TRANSACTION ID]],'Transaction ID Record'!$C$3:$D$510,2,FALSE)</f>
        <v>28301</v>
      </c>
    </row>
    <row r="155" spans="1:14" x14ac:dyDescent="0.35">
      <c r="A155" s="6" t="str">
        <f>TEXT(Table1[[#This Row],[DATE]],"MMMM")</f>
        <v>April</v>
      </c>
      <c r="B155" s="10">
        <v>44661</v>
      </c>
      <c r="C155" s="1" t="s">
        <v>387</v>
      </c>
      <c r="D155" s="1" t="str">
        <f>UPPER(Table1[[#This Row],[NAME2]])</f>
        <v>JARED DENNIS</v>
      </c>
      <c r="E155" s="1" t="s">
        <v>388</v>
      </c>
      <c r="F155" s="1" t="s">
        <v>389</v>
      </c>
      <c r="G155" s="1" t="s">
        <v>13</v>
      </c>
      <c r="H155" s="1" t="s">
        <v>390</v>
      </c>
      <c r="I155" s="1" t="s">
        <v>23</v>
      </c>
      <c r="J155" s="9">
        <v>76</v>
      </c>
      <c r="K155" s="1" t="str">
        <f>IF(Table1[[#This Row],[AGE]]&lt;=18,"CHILD",IF(Table1[[#This Row],[AGE]]&lt;=20,"TEEN",IF(Table1[[#This Row],[AGE]]&lt;=40,"ADULT",IF(Table1[[#This Row],[AGE]]&lt;=60,"SENIOR CITIZEN","OLD CITIZEN"))))</f>
        <v>OLD CITIZEN</v>
      </c>
      <c r="L155" s="1" t="s">
        <v>42</v>
      </c>
      <c r="M155" s="1" t="s">
        <v>47</v>
      </c>
      <c r="N155" s="13">
        <f>VLOOKUP(Table1[[#This Row],[TRANSACTION ID]],'Transaction ID Record'!$C$3:$D$510,2,FALSE)</f>
        <v>46138</v>
      </c>
    </row>
    <row r="156" spans="1:14" x14ac:dyDescent="0.35">
      <c r="A156" s="6" t="str">
        <f>TEXT(Table1[[#This Row],[DATE]],"MMMM")</f>
        <v>April</v>
      </c>
      <c r="B156" s="10">
        <v>44663</v>
      </c>
      <c r="C156" s="1" t="s">
        <v>391</v>
      </c>
      <c r="D156" s="1" t="str">
        <f>UPPER(Table1[[#This Row],[NAME2]])</f>
        <v>LESLY PORTER</v>
      </c>
      <c r="E156" s="1" t="s">
        <v>223</v>
      </c>
      <c r="F156" s="1" t="s">
        <v>224</v>
      </c>
      <c r="G156" s="1" t="s">
        <v>21</v>
      </c>
      <c r="H156" s="1" t="s">
        <v>225</v>
      </c>
      <c r="I156" s="1" t="s">
        <v>30</v>
      </c>
      <c r="J156" s="9">
        <v>68</v>
      </c>
      <c r="K156" s="1" t="str">
        <f>IF(Table1[[#This Row],[AGE]]&lt;=18,"CHILD",IF(Table1[[#This Row],[AGE]]&lt;=20,"TEEN",IF(Table1[[#This Row],[AGE]]&lt;=40,"ADULT",IF(Table1[[#This Row],[AGE]]&lt;=60,"SENIOR CITIZEN","OLD CITIZEN"))))</f>
        <v>OLD CITIZEN</v>
      </c>
      <c r="L156" s="1" t="s">
        <v>31</v>
      </c>
      <c r="M156" s="1" t="s">
        <v>25</v>
      </c>
      <c r="N156" s="13">
        <f>VLOOKUP(Table1[[#This Row],[TRANSACTION ID]],'Transaction ID Record'!$C$3:$D$510,2,FALSE)</f>
        <v>15860</v>
      </c>
    </row>
    <row r="157" spans="1:14" x14ac:dyDescent="0.35">
      <c r="A157" s="6" t="str">
        <f>TEXT(Table1[[#This Row],[DATE]],"MMMM")</f>
        <v>April</v>
      </c>
      <c r="B157" s="10">
        <v>44665</v>
      </c>
      <c r="C157" s="1" t="s">
        <v>392</v>
      </c>
      <c r="D157" s="1" t="str">
        <f>UPPER(Table1[[#This Row],[NAME2]])</f>
        <v>ODUMOSU DUKE</v>
      </c>
      <c r="E157" s="1" t="s">
        <v>59</v>
      </c>
      <c r="F157" s="1" t="s">
        <v>800</v>
      </c>
      <c r="G157" s="1" t="s">
        <v>13</v>
      </c>
      <c r="H157" s="1" t="s">
        <v>60</v>
      </c>
      <c r="I157" s="1" t="s">
        <v>15</v>
      </c>
      <c r="J157" s="9">
        <v>48</v>
      </c>
      <c r="K157" s="1" t="str">
        <f>IF(Table1[[#This Row],[AGE]]&lt;=18,"CHILD",IF(Table1[[#This Row],[AGE]]&lt;=20,"TEEN",IF(Table1[[#This Row],[AGE]]&lt;=40,"ADULT",IF(Table1[[#This Row],[AGE]]&lt;=60,"SENIOR CITIZEN","OLD CITIZEN"))))</f>
        <v>SENIOR CITIZEN</v>
      </c>
      <c r="L157" s="1" t="s">
        <v>42</v>
      </c>
      <c r="M157" s="1" t="s">
        <v>47</v>
      </c>
      <c r="N157" s="13">
        <f>VLOOKUP(Table1[[#This Row],[TRANSACTION ID]],'Transaction ID Record'!$C$3:$D$510,2,FALSE)</f>
        <v>50091</v>
      </c>
    </row>
    <row r="158" spans="1:14" x14ac:dyDescent="0.35">
      <c r="A158" s="6" t="str">
        <f>TEXT(Table1[[#This Row],[DATE]],"MMMM")</f>
        <v>April</v>
      </c>
      <c r="B158" s="10">
        <v>44666</v>
      </c>
      <c r="C158" s="1" t="s">
        <v>393</v>
      </c>
      <c r="D158" s="1" t="str">
        <f>UPPER(Table1[[#This Row],[NAME2]])</f>
        <v>ISADORA JONES</v>
      </c>
      <c r="E158" s="1" t="s">
        <v>394</v>
      </c>
      <c r="F158" s="1" t="s">
        <v>395</v>
      </c>
      <c r="G158" s="1" t="s">
        <v>13</v>
      </c>
      <c r="H158" s="1" t="s">
        <v>396</v>
      </c>
      <c r="I158" s="1" t="s">
        <v>23</v>
      </c>
      <c r="J158" s="9">
        <v>24</v>
      </c>
      <c r="K158" s="1" t="str">
        <f>IF(Table1[[#This Row],[AGE]]&lt;=18,"CHILD",IF(Table1[[#This Row],[AGE]]&lt;=20,"TEEN",IF(Table1[[#This Row],[AGE]]&lt;=40,"ADULT",IF(Table1[[#This Row],[AGE]]&lt;=60,"SENIOR CITIZEN","OLD CITIZEN"))))</f>
        <v>ADULT</v>
      </c>
      <c r="L158" s="1" t="s">
        <v>37</v>
      </c>
      <c r="M158" s="1" t="s">
        <v>25</v>
      </c>
      <c r="N158" s="13">
        <f>VLOOKUP(Table1[[#This Row],[TRANSACTION ID]],'Transaction ID Record'!$C$3:$D$510,2,FALSE)</f>
        <v>43684</v>
      </c>
    </row>
    <row r="159" spans="1:14" x14ac:dyDescent="0.35">
      <c r="A159" s="6" t="str">
        <f>TEXT(Table1[[#This Row],[DATE]],"MMMM")</f>
        <v>April</v>
      </c>
      <c r="B159" s="10">
        <v>44667</v>
      </c>
      <c r="C159" s="1" t="s">
        <v>397</v>
      </c>
      <c r="D159" s="1" t="str">
        <f>UPPER(Table1[[#This Row],[NAME2]])</f>
        <v>ADENIYI MCCONNELL</v>
      </c>
      <c r="E159" s="1" t="s">
        <v>398</v>
      </c>
      <c r="F159" s="1" t="s">
        <v>827</v>
      </c>
      <c r="G159" s="1" t="s">
        <v>21</v>
      </c>
      <c r="H159" s="1" t="s">
        <v>399</v>
      </c>
      <c r="I159" s="1" t="s">
        <v>15</v>
      </c>
      <c r="J159" s="9">
        <v>32</v>
      </c>
      <c r="K159" s="1" t="str">
        <f>IF(Table1[[#This Row],[AGE]]&lt;=18,"CHILD",IF(Table1[[#This Row],[AGE]]&lt;=20,"TEEN",IF(Table1[[#This Row],[AGE]]&lt;=40,"ADULT",IF(Table1[[#This Row],[AGE]]&lt;=60,"SENIOR CITIZEN","OLD CITIZEN"))))</f>
        <v>ADULT</v>
      </c>
      <c r="L159" s="1" t="s">
        <v>37</v>
      </c>
      <c r="M159" s="1" t="s">
        <v>25</v>
      </c>
      <c r="N159" s="13">
        <f>VLOOKUP(Table1[[#This Row],[TRANSACTION ID]],'Transaction ID Record'!$C$3:$D$510,2,FALSE)</f>
        <v>85219</v>
      </c>
    </row>
    <row r="160" spans="1:14" x14ac:dyDescent="0.35">
      <c r="A160" s="6" t="str">
        <f>TEXT(Table1[[#This Row],[DATE]],"MMMM")</f>
        <v>April</v>
      </c>
      <c r="B160" s="10">
        <v>44667</v>
      </c>
      <c r="C160" s="1" t="s">
        <v>400</v>
      </c>
      <c r="D160" s="1" t="str">
        <f>UPPER(Table1[[#This Row],[NAME2]])</f>
        <v>ODUMOSU DUKE</v>
      </c>
      <c r="E160" s="1" t="s">
        <v>59</v>
      </c>
      <c r="F160" s="1" t="s">
        <v>800</v>
      </c>
      <c r="G160" s="1" t="s">
        <v>13</v>
      </c>
      <c r="H160" s="1" t="s">
        <v>60</v>
      </c>
      <c r="I160" s="1" t="s">
        <v>15</v>
      </c>
      <c r="J160" s="9">
        <v>48</v>
      </c>
      <c r="K160" s="1" t="str">
        <f>IF(Table1[[#This Row],[AGE]]&lt;=18,"CHILD",IF(Table1[[#This Row],[AGE]]&lt;=20,"TEEN",IF(Table1[[#This Row],[AGE]]&lt;=40,"ADULT",IF(Table1[[#This Row],[AGE]]&lt;=60,"SENIOR CITIZEN","OLD CITIZEN"))))</f>
        <v>SENIOR CITIZEN</v>
      </c>
      <c r="L160" s="1" t="s">
        <v>151</v>
      </c>
      <c r="M160" s="1" t="s">
        <v>17</v>
      </c>
      <c r="N160" s="13">
        <f>VLOOKUP(Table1[[#This Row],[TRANSACTION ID]],'Transaction ID Record'!$C$3:$D$510,2,FALSE)</f>
        <v>164307</v>
      </c>
    </row>
    <row r="161" spans="1:14" x14ac:dyDescent="0.35">
      <c r="A161" s="6" t="str">
        <f>TEXT(Table1[[#This Row],[DATE]],"MMMM")</f>
        <v>April</v>
      </c>
      <c r="B161" s="10">
        <v>44668</v>
      </c>
      <c r="C161" s="1" t="s">
        <v>401</v>
      </c>
      <c r="D161" s="1" t="str">
        <f>UPPER(Table1[[#This Row],[NAME2]])</f>
        <v>BRITTANY BEST</v>
      </c>
      <c r="E161" s="1" t="s">
        <v>54</v>
      </c>
      <c r="F161" s="1" t="s">
        <v>55</v>
      </c>
      <c r="G161" s="1" t="s">
        <v>21</v>
      </c>
      <c r="H161" s="1" t="s">
        <v>56</v>
      </c>
      <c r="I161" s="1" t="s">
        <v>23</v>
      </c>
      <c r="J161" s="9">
        <v>28</v>
      </c>
      <c r="K161" s="1" t="str">
        <f>IF(Table1[[#This Row],[AGE]]&lt;=18,"CHILD",IF(Table1[[#This Row],[AGE]]&lt;=20,"TEEN",IF(Table1[[#This Row],[AGE]]&lt;=40,"ADULT",IF(Table1[[#This Row],[AGE]]&lt;=60,"SENIOR CITIZEN","OLD CITIZEN"))))</f>
        <v>ADULT</v>
      </c>
      <c r="L161" s="1" t="s">
        <v>66</v>
      </c>
      <c r="M161" s="1" t="s">
        <v>47</v>
      </c>
      <c r="N161" s="13">
        <f>VLOOKUP(Table1[[#This Row],[TRANSACTION ID]],'Transaction ID Record'!$C$3:$D$510,2,FALSE)</f>
        <v>16744</v>
      </c>
    </row>
    <row r="162" spans="1:14" x14ac:dyDescent="0.35">
      <c r="A162" s="6" t="str">
        <f>TEXT(Table1[[#This Row],[DATE]],"MMMM")</f>
        <v>April</v>
      </c>
      <c r="B162" s="10">
        <v>44669</v>
      </c>
      <c r="C162" s="1" t="s">
        <v>402</v>
      </c>
      <c r="D162" s="1" t="str">
        <f>UPPER(Table1[[#This Row],[NAME2]])</f>
        <v>EMERSON PANOVSKY</v>
      </c>
      <c r="E162" s="1" t="s">
        <v>75</v>
      </c>
      <c r="F162" s="1" t="s">
        <v>76</v>
      </c>
      <c r="G162" s="1" t="s">
        <v>21</v>
      </c>
      <c r="H162" s="1" t="s">
        <v>77</v>
      </c>
      <c r="I162" s="1" t="s">
        <v>30</v>
      </c>
      <c r="J162" s="9">
        <v>19</v>
      </c>
      <c r="K162" s="1" t="str">
        <f>IF(Table1[[#This Row],[AGE]]&lt;=18,"CHILD",IF(Table1[[#This Row],[AGE]]&lt;=20,"TEEN",IF(Table1[[#This Row],[AGE]]&lt;=40,"ADULT",IF(Table1[[#This Row],[AGE]]&lt;=60,"SENIOR CITIZEN","OLD CITIZEN"))))</f>
        <v>TEEN</v>
      </c>
      <c r="L162" s="1" t="s">
        <v>57</v>
      </c>
      <c r="M162" s="1" t="s">
        <v>47</v>
      </c>
      <c r="N162" s="13">
        <f>VLOOKUP(Table1[[#This Row],[TRANSACTION ID]],'Transaction ID Record'!$C$3:$D$510,2,FALSE)</f>
        <v>165153</v>
      </c>
    </row>
    <row r="163" spans="1:14" x14ac:dyDescent="0.35">
      <c r="A163" s="6" t="str">
        <f>TEXT(Table1[[#This Row],[DATE]],"MMMM")</f>
        <v>April</v>
      </c>
      <c r="B163" s="10">
        <v>44671</v>
      </c>
      <c r="C163" s="1" t="s">
        <v>403</v>
      </c>
      <c r="D163" s="1" t="str">
        <f>UPPER(Table1[[#This Row],[NAME2]])</f>
        <v>CYRUS SMITH</v>
      </c>
      <c r="E163" s="1" t="s">
        <v>265</v>
      </c>
      <c r="F163" s="1" t="s">
        <v>266</v>
      </c>
      <c r="G163" s="1" t="s">
        <v>13</v>
      </c>
      <c r="H163" s="1" t="s">
        <v>267</v>
      </c>
      <c r="I163" s="1" t="s">
        <v>15</v>
      </c>
      <c r="J163" s="9">
        <v>72</v>
      </c>
      <c r="K163" s="1" t="str">
        <f>IF(Table1[[#This Row],[AGE]]&lt;=18,"CHILD",IF(Table1[[#This Row],[AGE]]&lt;=20,"TEEN",IF(Table1[[#This Row],[AGE]]&lt;=40,"ADULT",IF(Table1[[#This Row],[AGE]]&lt;=60,"SENIOR CITIZEN","OLD CITIZEN"))))</f>
        <v>OLD CITIZEN</v>
      </c>
      <c r="L163" s="1" t="s">
        <v>167</v>
      </c>
      <c r="M163" s="1" t="s">
        <v>47</v>
      </c>
      <c r="N163" s="13">
        <f>VLOOKUP(Table1[[#This Row],[TRANSACTION ID]],'Transaction ID Record'!$C$3:$D$510,2,FALSE)</f>
        <v>93114</v>
      </c>
    </row>
    <row r="164" spans="1:14" x14ac:dyDescent="0.35">
      <c r="A164" s="6" t="str">
        <f>TEXT(Table1[[#This Row],[DATE]],"MMMM")</f>
        <v>April</v>
      </c>
      <c r="B164" s="10">
        <v>44671</v>
      </c>
      <c r="C164" s="1" t="s">
        <v>404</v>
      </c>
      <c r="D164" s="1" t="str">
        <f>UPPER(Table1[[#This Row],[NAME2]])</f>
        <v>AGEMO BARNES</v>
      </c>
      <c r="E164" s="1" t="s">
        <v>111</v>
      </c>
      <c r="F164" s="1" t="s">
        <v>112</v>
      </c>
      <c r="G164" s="1" t="s">
        <v>21</v>
      </c>
      <c r="H164" s="1" t="s">
        <v>113</v>
      </c>
      <c r="I164" s="1" t="s">
        <v>23</v>
      </c>
      <c r="J164" s="9">
        <v>58</v>
      </c>
      <c r="K164" s="1" t="str">
        <f>IF(Table1[[#This Row],[AGE]]&lt;=18,"CHILD",IF(Table1[[#This Row],[AGE]]&lt;=20,"TEEN",IF(Table1[[#This Row],[AGE]]&lt;=40,"ADULT",IF(Table1[[#This Row],[AGE]]&lt;=60,"SENIOR CITIZEN","OLD CITIZEN"))))</f>
        <v>SENIOR CITIZEN</v>
      </c>
      <c r="L164" s="1" t="s">
        <v>42</v>
      </c>
      <c r="M164" s="1" t="s">
        <v>17</v>
      </c>
      <c r="N164" s="13">
        <f>VLOOKUP(Table1[[#This Row],[TRANSACTION ID]],'Transaction ID Record'!$C$3:$D$510,2,FALSE)</f>
        <v>54960</v>
      </c>
    </row>
    <row r="165" spans="1:14" x14ac:dyDescent="0.35">
      <c r="A165" s="6" t="str">
        <f>TEXT(Table1[[#This Row],[DATE]],"MMMM")</f>
        <v>April</v>
      </c>
      <c r="B165" s="10">
        <v>44671</v>
      </c>
      <c r="C165" s="1" t="s">
        <v>405</v>
      </c>
      <c r="D165" s="1" t="str">
        <f>UPPER(Table1[[#This Row],[NAME2]])</f>
        <v>OLAOGUN KIDD</v>
      </c>
      <c r="E165" s="1" t="s">
        <v>133</v>
      </c>
      <c r="F165" s="1" t="s">
        <v>134</v>
      </c>
      <c r="G165" s="1" t="s">
        <v>13</v>
      </c>
      <c r="H165" s="1" t="s">
        <v>135</v>
      </c>
      <c r="I165" s="1" t="s">
        <v>23</v>
      </c>
      <c r="J165" s="9">
        <v>68</v>
      </c>
      <c r="K165" s="1" t="str">
        <f>IF(Table1[[#This Row],[AGE]]&lt;=18,"CHILD",IF(Table1[[#This Row],[AGE]]&lt;=20,"TEEN",IF(Table1[[#This Row],[AGE]]&lt;=40,"ADULT",IF(Table1[[#This Row],[AGE]]&lt;=60,"SENIOR CITIZEN","OLD CITIZEN"))))</f>
        <v>OLD CITIZEN</v>
      </c>
      <c r="L165" s="1" t="s">
        <v>66</v>
      </c>
      <c r="M165" s="1" t="s">
        <v>61</v>
      </c>
      <c r="N165" s="13">
        <f>VLOOKUP(Table1[[#This Row],[TRANSACTION ID]],'Transaction ID Record'!$C$3:$D$510,2,FALSE)</f>
        <v>121963</v>
      </c>
    </row>
    <row r="166" spans="1:14" x14ac:dyDescent="0.35">
      <c r="A166" s="6" t="str">
        <f>TEXT(Table1[[#This Row],[DATE]],"MMMM")</f>
        <v>April</v>
      </c>
      <c r="B166" s="10">
        <v>44672</v>
      </c>
      <c r="C166" s="1" t="s">
        <v>406</v>
      </c>
      <c r="D166" s="1" t="str">
        <f>UPPER(Table1[[#This Row],[NAME2]])</f>
        <v>ADENIYI WEAVER</v>
      </c>
      <c r="E166" s="1" t="s">
        <v>196</v>
      </c>
      <c r="F166" s="1" t="s">
        <v>197</v>
      </c>
      <c r="G166" s="1" t="s">
        <v>13</v>
      </c>
      <c r="H166" s="1" t="s">
        <v>198</v>
      </c>
      <c r="I166" s="1" t="s">
        <v>30</v>
      </c>
      <c r="J166" s="9">
        <v>39</v>
      </c>
      <c r="K166" s="1" t="str">
        <f>IF(Table1[[#This Row],[AGE]]&lt;=18,"CHILD",IF(Table1[[#This Row],[AGE]]&lt;=20,"TEEN",IF(Table1[[#This Row],[AGE]]&lt;=40,"ADULT",IF(Table1[[#This Row],[AGE]]&lt;=60,"SENIOR CITIZEN","OLD CITIZEN"))))</f>
        <v>ADULT</v>
      </c>
      <c r="L166" s="1" t="s">
        <v>16</v>
      </c>
      <c r="M166" s="1" t="s">
        <v>25</v>
      </c>
      <c r="N166" s="13">
        <f>VLOOKUP(Table1[[#This Row],[TRANSACTION ID]],'Transaction ID Record'!$C$3:$D$510,2,FALSE)</f>
        <v>32890</v>
      </c>
    </row>
    <row r="167" spans="1:14" x14ac:dyDescent="0.35">
      <c r="A167" s="6" t="str">
        <f>TEXT(Table1[[#This Row],[DATE]],"MMMM")</f>
        <v>April</v>
      </c>
      <c r="B167" s="10">
        <v>44672</v>
      </c>
      <c r="C167" s="1" t="s">
        <v>407</v>
      </c>
      <c r="D167" s="1" t="str">
        <f>UPPER(Table1[[#This Row],[NAME2]])</f>
        <v>ADEBOLA SOLIS</v>
      </c>
      <c r="E167" s="1" t="s">
        <v>244</v>
      </c>
      <c r="F167" s="1" t="s">
        <v>245</v>
      </c>
      <c r="G167" s="1" t="s">
        <v>21</v>
      </c>
      <c r="H167" s="1" t="s">
        <v>246</v>
      </c>
      <c r="I167" s="1" t="s">
        <v>15</v>
      </c>
      <c r="J167" s="9">
        <v>29</v>
      </c>
      <c r="K167" s="1" t="str">
        <f>IF(Table1[[#This Row],[AGE]]&lt;=18,"CHILD",IF(Table1[[#This Row],[AGE]]&lt;=20,"TEEN",IF(Table1[[#This Row],[AGE]]&lt;=40,"ADULT",IF(Table1[[#This Row],[AGE]]&lt;=60,"SENIOR CITIZEN","OLD CITIZEN"))))</f>
        <v>ADULT</v>
      </c>
      <c r="L167" s="1" t="s">
        <v>66</v>
      </c>
      <c r="M167" s="1" t="s">
        <v>47</v>
      </c>
      <c r="N167" s="13">
        <f>VLOOKUP(Table1[[#This Row],[TRANSACTION ID]],'Transaction ID Record'!$C$3:$D$510,2,FALSE)</f>
        <v>129591</v>
      </c>
    </row>
    <row r="168" spans="1:14" x14ac:dyDescent="0.35">
      <c r="A168" s="6" t="str">
        <f>TEXT(Table1[[#This Row],[DATE]],"MMMM")</f>
        <v>April</v>
      </c>
      <c r="B168" s="10">
        <v>44674</v>
      </c>
      <c r="C168" s="1" t="s">
        <v>408</v>
      </c>
      <c r="D168" s="1" t="str">
        <f>UPPER(Table1[[#This Row],[NAME2]])</f>
        <v>ADENIYI WEAVER</v>
      </c>
      <c r="E168" s="1" t="s">
        <v>196</v>
      </c>
      <c r="F168" s="1" t="s">
        <v>197</v>
      </c>
      <c r="G168" s="1" t="s">
        <v>13</v>
      </c>
      <c r="H168" s="1" t="s">
        <v>198</v>
      </c>
      <c r="I168" s="1" t="s">
        <v>30</v>
      </c>
      <c r="J168" s="9">
        <v>39</v>
      </c>
      <c r="K168" s="1" t="str">
        <f>IF(Table1[[#This Row],[AGE]]&lt;=18,"CHILD",IF(Table1[[#This Row],[AGE]]&lt;=20,"TEEN",IF(Table1[[#This Row],[AGE]]&lt;=40,"ADULT",IF(Table1[[#This Row],[AGE]]&lt;=60,"SENIOR CITIZEN","OLD CITIZEN"))))</f>
        <v>ADULT</v>
      </c>
      <c r="L168" s="1" t="s">
        <v>37</v>
      </c>
      <c r="M168" s="1" t="s">
        <v>47</v>
      </c>
      <c r="N168" s="13">
        <f>VLOOKUP(Table1[[#This Row],[TRANSACTION ID]],'Transaction ID Record'!$C$3:$D$510,2,FALSE)</f>
        <v>63818</v>
      </c>
    </row>
    <row r="169" spans="1:14" x14ac:dyDescent="0.35">
      <c r="A169" s="6" t="str">
        <f>TEXT(Table1[[#This Row],[DATE]],"MMMM")</f>
        <v>April</v>
      </c>
      <c r="B169" s="10">
        <v>44675</v>
      </c>
      <c r="C169" s="1" t="s">
        <v>409</v>
      </c>
      <c r="D169" s="1" t="str">
        <f>UPPER(Table1[[#This Row],[NAME2]])</f>
        <v>BAMIDELE ALEXANDER</v>
      </c>
      <c r="E169" s="1" t="s">
        <v>34</v>
      </c>
      <c r="F169" s="1" t="s">
        <v>35</v>
      </c>
      <c r="G169" s="1" t="s">
        <v>13</v>
      </c>
      <c r="H169" s="1" t="s">
        <v>36</v>
      </c>
      <c r="I169" s="1" t="s">
        <v>23</v>
      </c>
      <c r="J169" s="9">
        <v>61</v>
      </c>
      <c r="K169" s="1" t="str">
        <f>IF(Table1[[#This Row],[AGE]]&lt;=18,"CHILD",IF(Table1[[#This Row],[AGE]]&lt;=20,"TEEN",IF(Table1[[#This Row],[AGE]]&lt;=40,"ADULT",IF(Table1[[#This Row],[AGE]]&lt;=60,"SENIOR CITIZEN","OLD CITIZEN"))))</f>
        <v>OLD CITIZEN</v>
      </c>
      <c r="L169" s="1" t="s">
        <v>42</v>
      </c>
      <c r="M169" s="1" t="s">
        <v>61</v>
      </c>
      <c r="N169" s="13">
        <f>VLOOKUP(Table1[[#This Row],[TRANSACTION ID]],'Transaction ID Record'!$C$3:$D$510,2,FALSE)</f>
        <v>58922</v>
      </c>
    </row>
    <row r="170" spans="1:14" x14ac:dyDescent="0.35">
      <c r="A170" s="6" t="str">
        <f>TEXT(Table1[[#This Row],[DATE]],"MMMM")</f>
        <v>April</v>
      </c>
      <c r="B170" s="10">
        <v>44677</v>
      </c>
      <c r="C170" s="1" t="s">
        <v>410</v>
      </c>
      <c r="D170" s="1" t="str">
        <f>UPPER(Table1[[#This Row],[NAME2]])</f>
        <v>ADENIYI WEAVER</v>
      </c>
      <c r="E170" s="1" t="s">
        <v>196</v>
      </c>
      <c r="F170" s="1" t="s">
        <v>197</v>
      </c>
      <c r="G170" s="1" t="s">
        <v>13</v>
      </c>
      <c r="H170" s="1" t="s">
        <v>198</v>
      </c>
      <c r="I170" s="1" t="s">
        <v>30</v>
      </c>
      <c r="J170" s="9">
        <v>39</v>
      </c>
      <c r="K170" s="1" t="str">
        <f>IF(Table1[[#This Row],[AGE]]&lt;=18,"CHILD",IF(Table1[[#This Row],[AGE]]&lt;=20,"TEEN",IF(Table1[[#This Row],[AGE]]&lt;=40,"ADULT",IF(Table1[[#This Row],[AGE]]&lt;=60,"SENIOR CITIZEN","OLD CITIZEN"))))</f>
        <v>ADULT</v>
      </c>
      <c r="L170" s="1" t="s">
        <v>66</v>
      </c>
      <c r="M170" s="1" t="s">
        <v>17</v>
      </c>
      <c r="N170" s="13">
        <f>VLOOKUP(Table1[[#This Row],[TRANSACTION ID]],'Transaction ID Record'!$C$3:$D$510,2,FALSE)</f>
        <v>140795</v>
      </c>
    </row>
    <row r="171" spans="1:14" x14ac:dyDescent="0.35">
      <c r="A171" s="6" t="str">
        <f>TEXT(Table1[[#This Row],[DATE]],"MMMM")</f>
        <v>April</v>
      </c>
      <c r="B171" s="10">
        <v>44677</v>
      </c>
      <c r="C171" s="1" t="s">
        <v>411</v>
      </c>
      <c r="D171" s="1" t="str">
        <f>UPPER(Table1[[#This Row],[NAME2]])</f>
        <v>OLUDAISI JOHNSON</v>
      </c>
      <c r="E171" s="1" t="s">
        <v>259</v>
      </c>
      <c r="F171" s="1" t="s">
        <v>818</v>
      </c>
      <c r="G171" s="1" t="s">
        <v>21</v>
      </c>
      <c r="H171" s="1" t="s">
        <v>260</v>
      </c>
      <c r="I171" s="1" t="s">
        <v>30</v>
      </c>
      <c r="J171" s="9">
        <v>45</v>
      </c>
      <c r="K171" s="1" t="str">
        <f>IF(Table1[[#This Row],[AGE]]&lt;=18,"CHILD",IF(Table1[[#This Row],[AGE]]&lt;=20,"TEEN",IF(Table1[[#This Row],[AGE]]&lt;=40,"ADULT",IF(Table1[[#This Row],[AGE]]&lt;=60,"SENIOR CITIZEN","OLD CITIZEN"))))</f>
        <v>SENIOR CITIZEN</v>
      </c>
      <c r="L171" s="1" t="s">
        <v>66</v>
      </c>
      <c r="M171" s="1" t="s">
        <v>32</v>
      </c>
      <c r="N171" s="13">
        <f>VLOOKUP(Table1[[#This Row],[TRANSACTION ID]],'Transaction ID Record'!$C$3:$D$510,2,FALSE)</f>
        <v>41363</v>
      </c>
    </row>
    <row r="172" spans="1:14" x14ac:dyDescent="0.35">
      <c r="A172" s="6" t="str">
        <f>TEXT(Table1[[#This Row],[DATE]],"MMMM")</f>
        <v>April</v>
      </c>
      <c r="B172" s="10">
        <v>44678</v>
      </c>
      <c r="C172" s="1" t="s">
        <v>412</v>
      </c>
      <c r="D172" s="1" t="str">
        <f>UPPER(Table1[[#This Row],[NAME2]])</f>
        <v>JOY GARZA</v>
      </c>
      <c r="E172" s="1" t="s">
        <v>158</v>
      </c>
      <c r="F172" s="1" t="s">
        <v>159</v>
      </c>
      <c r="G172" s="1" t="s">
        <v>13</v>
      </c>
      <c r="H172" s="1" t="s">
        <v>160</v>
      </c>
      <c r="I172" s="1" t="s">
        <v>23</v>
      </c>
      <c r="J172" s="9">
        <v>60</v>
      </c>
      <c r="K172" s="1" t="str">
        <f>IF(Table1[[#This Row],[AGE]]&lt;=18,"CHILD",IF(Table1[[#This Row],[AGE]]&lt;=20,"TEEN",IF(Table1[[#This Row],[AGE]]&lt;=40,"ADULT",IF(Table1[[#This Row],[AGE]]&lt;=60,"SENIOR CITIZEN","OLD CITIZEN"))))</f>
        <v>SENIOR CITIZEN</v>
      </c>
      <c r="L172" s="1" t="s">
        <v>151</v>
      </c>
      <c r="M172" s="1" t="s">
        <v>32</v>
      </c>
      <c r="N172" s="13">
        <f>VLOOKUP(Table1[[#This Row],[TRANSACTION ID]],'Transaction ID Record'!$C$3:$D$510,2,FALSE)</f>
        <v>62060</v>
      </c>
    </row>
    <row r="173" spans="1:14" x14ac:dyDescent="0.35">
      <c r="A173" s="6" t="str">
        <f>TEXT(Table1[[#This Row],[DATE]],"MMMM")</f>
        <v>April</v>
      </c>
      <c r="B173" s="10">
        <v>44679</v>
      </c>
      <c r="C173" s="1" t="s">
        <v>413</v>
      </c>
      <c r="D173" s="1" t="str">
        <f>UPPER(Table1[[#This Row],[NAME2]])</f>
        <v>AMERY JACOB</v>
      </c>
      <c r="E173" s="1" t="s">
        <v>306</v>
      </c>
      <c r="F173" s="1" t="s">
        <v>307</v>
      </c>
      <c r="G173" s="1" t="s">
        <v>13</v>
      </c>
      <c r="H173" s="1" t="s">
        <v>308</v>
      </c>
      <c r="I173" s="1" t="s">
        <v>30</v>
      </c>
      <c r="J173" s="9">
        <v>21</v>
      </c>
      <c r="K173" s="1" t="str">
        <f>IF(Table1[[#This Row],[AGE]]&lt;=18,"CHILD",IF(Table1[[#This Row],[AGE]]&lt;=20,"TEEN",IF(Table1[[#This Row],[AGE]]&lt;=40,"ADULT",IF(Table1[[#This Row],[AGE]]&lt;=60,"SENIOR CITIZEN","OLD CITIZEN"))))</f>
        <v>ADULT</v>
      </c>
      <c r="L173" s="1" t="s">
        <v>31</v>
      </c>
      <c r="M173" s="1" t="s">
        <v>17</v>
      </c>
      <c r="N173" s="13">
        <f>VLOOKUP(Table1[[#This Row],[TRANSACTION ID]],'Transaction ID Record'!$C$3:$D$510,2,FALSE)</f>
        <v>142091</v>
      </c>
    </row>
    <row r="174" spans="1:14" x14ac:dyDescent="0.35">
      <c r="A174" s="6" t="str">
        <f>TEXT(Table1[[#This Row],[DATE]],"MMMM")</f>
        <v>April</v>
      </c>
      <c r="B174" s="10">
        <v>44679</v>
      </c>
      <c r="C174" s="1" t="s">
        <v>414</v>
      </c>
      <c r="D174" s="1" t="str">
        <f>UPPER(Table1[[#This Row],[NAME2]])</f>
        <v>LESLY PORTER</v>
      </c>
      <c r="E174" s="1" t="s">
        <v>223</v>
      </c>
      <c r="F174" s="1" t="s">
        <v>224</v>
      </c>
      <c r="G174" s="1" t="s">
        <v>21</v>
      </c>
      <c r="H174" s="1" t="s">
        <v>225</v>
      </c>
      <c r="I174" s="1" t="s">
        <v>30</v>
      </c>
      <c r="J174" s="9">
        <v>68</v>
      </c>
      <c r="K174" s="1" t="str">
        <f>IF(Table1[[#This Row],[AGE]]&lt;=18,"CHILD",IF(Table1[[#This Row],[AGE]]&lt;=20,"TEEN",IF(Table1[[#This Row],[AGE]]&lt;=40,"ADULT",IF(Table1[[#This Row],[AGE]]&lt;=60,"SENIOR CITIZEN","OLD CITIZEN"))))</f>
        <v>OLD CITIZEN</v>
      </c>
      <c r="L174" s="1" t="s">
        <v>16</v>
      </c>
      <c r="M174" s="1" t="s">
        <v>47</v>
      </c>
      <c r="N174" s="13">
        <f>VLOOKUP(Table1[[#This Row],[TRANSACTION ID]],'Transaction ID Record'!$C$3:$D$510,2,FALSE)</f>
        <v>32491</v>
      </c>
    </row>
    <row r="175" spans="1:14" x14ac:dyDescent="0.35">
      <c r="A175" s="6" t="str">
        <f>TEXT(Table1[[#This Row],[DATE]],"MMMM")</f>
        <v>April</v>
      </c>
      <c r="B175" s="10">
        <v>44680</v>
      </c>
      <c r="C175" s="1" t="s">
        <v>415</v>
      </c>
      <c r="D175" s="1" t="str">
        <f>UPPER(Table1[[#This Row],[NAME2]])</f>
        <v>EMERSON PANOVSKY</v>
      </c>
      <c r="E175" s="1" t="s">
        <v>75</v>
      </c>
      <c r="F175" s="1" t="s">
        <v>76</v>
      </c>
      <c r="G175" s="1" t="s">
        <v>21</v>
      </c>
      <c r="H175" s="1" t="s">
        <v>77</v>
      </c>
      <c r="I175" s="1" t="s">
        <v>30</v>
      </c>
      <c r="J175" s="9">
        <v>19</v>
      </c>
      <c r="K175" s="1" t="str">
        <f>IF(Table1[[#This Row],[AGE]]&lt;=18,"CHILD",IF(Table1[[#This Row],[AGE]]&lt;=20,"TEEN",IF(Table1[[#This Row],[AGE]]&lt;=40,"ADULT",IF(Table1[[#This Row],[AGE]]&lt;=60,"SENIOR CITIZEN","OLD CITIZEN"))))</f>
        <v>TEEN</v>
      </c>
      <c r="L175" s="1" t="s">
        <v>42</v>
      </c>
      <c r="M175" s="1" t="s">
        <v>17</v>
      </c>
      <c r="N175" s="13">
        <f>VLOOKUP(Table1[[#This Row],[TRANSACTION ID]],'Transaction ID Record'!$C$3:$D$510,2,FALSE)</f>
        <v>15334</v>
      </c>
    </row>
    <row r="176" spans="1:14" x14ac:dyDescent="0.35">
      <c r="A176" s="6" t="str">
        <f>TEXT(Table1[[#This Row],[DATE]],"MMMM")</f>
        <v>April</v>
      </c>
      <c r="B176" s="10">
        <v>44681</v>
      </c>
      <c r="C176" s="1" t="s">
        <v>416</v>
      </c>
      <c r="D176" s="1" t="str">
        <f>UPPER(Table1[[#This Row],[NAME2]])</f>
        <v>ATHENA MACDONALD</v>
      </c>
      <c r="E176" s="1" t="s">
        <v>169</v>
      </c>
      <c r="F176" s="1" t="s">
        <v>170</v>
      </c>
      <c r="G176" s="1" t="s">
        <v>13</v>
      </c>
      <c r="H176" s="1" t="s">
        <v>171</v>
      </c>
      <c r="I176" s="1" t="s">
        <v>30</v>
      </c>
      <c r="J176" s="9">
        <v>29</v>
      </c>
      <c r="K176" s="1" t="str">
        <f>IF(Table1[[#This Row],[AGE]]&lt;=18,"CHILD",IF(Table1[[#This Row],[AGE]]&lt;=20,"TEEN",IF(Table1[[#This Row],[AGE]]&lt;=40,"ADULT",IF(Table1[[#This Row],[AGE]]&lt;=60,"SENIOR CITIZEN","OLD CITIZEN"))))</f>
        <v>ADULT</v>
      </c>
      <c r="L176" s="1" t="s">
        <v>66</v>
      </c>
      <c r="M176" s="1" t="s">
        <v>25</v>
      </c>
      <c r="N176" s="13">
        <f>VLOOKUP(Table1[[#This Row],[TRANSACTION ID]],'Transaction ID Record'!$C$3:$D$510,2,FALSE)</f>
        <v>107466</v>
      </c>
    </row>
    <row r="177" spans="1:14" x14ac:dyDescent="0.35">
      <c r="A177" s="6" t="str">
        <f>TEXT(Table1[[#This Row],[DATE]],"MMMM")</f>
        <v>April</v>
      </c>
      <c r="B177" s="10">
        <v>44681</v>
      </c>
      <c r="C177" s="1" t="s">
        <v>417</v>
      </c>
      <c r="D177" s="1" t="str">
        <f>UPPER(Table1[[#This Row],[NAME2]])</f>
        <v>BRETT FERNANDEZ</v>
      </c>
      <c r="E177" s="1" t="s">
        <v>295</v>
      </c>
      <c r="F177" s="1" t="s">
        <v>296</v>
      </c>
      <c r="G177" s="1" t="s">
        <v>13</v>
      </c>
      <c r="H177" s="1" t="s">
        <v>297</v>
      </c>
      <c r="I177" s="1" t="s">
        <v>23</v>
      </c>
      <c r="J177" s="9">
        <v>47</v>
      </c>
      <c r="K177" s="1" t="str">
        <f>IF(Table1[[#This Row],[AGE]]&lt;=18,"CHILD",IF(Table1[[#This Row],[AGE]]&lt;=20,"TEEN",IF(Table1[[#This Row],[AGE]]&lt;=40,"ADULT",IF(Table1[[#This Row],[AGE]]&lt;=60,"SENIOR CITIZEN","OLD CITIZEN"))))</f>
        <v>SENIOR CITIZEN</v>
      </c>
      <c r="L177" s="1" t="s">
        <v>66</v>
      </c>
      <c r="M177" s="1" t="s">
        <v>47</v>
      </c>
      <c r="N177" s="13">
        <f>VLOOKUP(Table1[[#This Row],[TRANSACTION ID]],'Transaction ID Record'!$C$3:$D$510,2,FALSE)</f>
        <v>180179</v>
      </c>
    </row>
    <row r="178" spans="1:14" x14ac:dyDescent="0.35">
      <c r="A178" s="6" t="str">
        <f>TEXT(Table1[[#This Row],[DATE]],"MMMM")</f>
        <v>May</v>
      </c>
      <c r="B178" s="10">
        <v>44682</v>
      </c>
      <c r="C178" s="1" t="s">
        <v>418</v>
      </c>
      <c r="D178" s="1" t="str">
        <f>UPPER(Table1[[#This Row],[NAME2]])</f>
        <v>ADENIYI CHANG</v>
      </c>
      <c r="E178" s="1" t="s">
        <v>125</v>
      </c>
      <c r="F178" s="1" t="s">
        <v>126</v>
      </c>
      <c r="G178" s="1" t="s">
        <v>21</v>
      </c>
      <c r="H178" s="1" t="s">
        <v>127</v>
      </c>
      <c r="I178" s="1" t="s">
        <v>23</v>
      </c>
      <c r="J178" s="9">
        <v>76</v>
      </c>
      <c r="K178" s="1" t="str">
        <f>IF(Table1[[#This Row],[AGE]]&lt;=18,"CHILD",IF(Table1[[#This Row],[AGE]]&lt;=20,"TEEN",IF(Table1[[#This Row],[AGE]]&lt;=40,"ADULT",IF(Table1[[#This Row],[AGE]]&lt;=60,"SENIOR CITIZEN","OLD CITIZEN"))))</f>
        <v>OLD CITIZEN</v>
      </c>
      <c r="L178" s="1" t="s">
        <v>52</v>
      </c>
      <c r="M178" s="1" t="s">
        <v>32</v>
      </c>
      <c r="N178" s="13">
        <f>VLOOKUP(Table1[[#This Row],[TRANSACTION ID]],'Transaction ID Record'!$C$3:$D$510,2,FALSE)</f>
        <v>137933</v>
      </c>
    </row>
    <row r="179" spans="1:14" x14ac:dyDescent="0.35">
      <c r="A179" s="6" t="str">
        <f>TEXT(Table1[[#This Row],[DATE]],"MMMM")</f>
        <v>May</v>
      </c>
      <c r="B179" s="10">
        <v>44682</v>
      </c>
      <c r="C179" s="1" t="s">
        <v>419</v>
      </c>
      <c r="D179" s="1" t="str">
        <f>UPPER(Table1[[#This Row],[NAME2]])</f>
        <v>PAUL FERRIS</v>
      </c>
      <c r="E179" s="1" t="s">
        <v>200</v>
      </c>
      <c r="F179" s="1" t="s">
        <v>201</v>
      </c>
      <c r="G179" s="1" t="s">
        <v>21</v>
      </c>
      <c r="H179" s="1" t="s">
        <v>202</v>
      </c>
      <c r="I179" s="1" t="s">
        <v>23</v>
      </c>
      <c r="J179" s="9">
        <v>48</v>
      </c>
      <c r="K179" s="1" t="str">
        <f>IF(Table1[[#This Row],[AGE]]&lt;=18,"CHILD",IF(Table1[[#This Row],[AGE]]&lt;=20,"TEEN",IF(Table1[[#This Row],[AGE]]&lt;=40,"ADULT",IF(Table1[[#This Row],[AGE]]&lt;=60,"SENIOR CITIZEN","OLD CITIZEN"))))</f>
        <v>SENIOR CITIZEN</v>
      </c>
      <c r="L179" s="1" t="s">
        <v>66</v>
      </c>
      <c r="M179" s="1" t="s">
        <v>25</v>
      </c>
      <c r="N179" s="13">
        <f>VLOOKUP(Table1[[#This Row],[TRANSACTION ID]],'Transaction ID Record'!$C$3:$D$510,2,FALSE)</f>
        <v>153282</v>
      </c>
    </row>
    <row r="180" spans="1:14" x14ac:dyDescent="0.35">
      <c r="A180" s="6" t="str">
        <f>TEXT(Table1[[#This Row],[DATE]],"MMMM")</f>
        <v>May</v>
      </c>
      <c r="B180" s="10">
        <v>44682</v>
      </c>
      <c r="C180" s="1" t="s">
        <v>420</v>
      </c>
      <c r="D180" s="1" t="str">
        <f>UPPER(Table1[[#This Row],[NAME2]])</f>
        <v>FORREST FELIX</v>
      </c>
      <c r="E180" s="1" t="s">
        <v>289</v>
      </c>
      <c r="F180" s="1" t="s">
        <v>821</v>
      </c>
      <c r="G180" s="1" t="s">
        <v>21</v>
      </c>
      <c r="H180" s="1" t="s">
        <v>290</v>
      </c>
      <c r="I180" s="1" t="s">
        <v>15</v>
      </c>
      <c r="J180" s="9">
        <v>65</v>
      </c>
      <c r="K180" s="1" t="str">
        <f>IF(Table1[[#This Row],[AGE]]&lt;=18,"CHILD",IF(Table1[[#This Row],[AGE]]&lt;=20,"TEEN",IF(Table1[[#This Row],[AGE]]&lt;=40,"ADULT",IF(Table1[[#This Row],[AGE]]&lt;=60,"SENIOR CITIZEN","OLD CITIZEN"))))</f>
        <v>OLD CITIZEN</v>
      </c>
      <c r="L180" s="1" t="s">
        <v>66</v>
      </c>
      <c r="M180" s="1" t="s">
        <v>61</v>
      </c>
      <c r="N180" s="13">
        <f>VLOOKUP(Table1[[#This Row],[TRANSACTION ID]],'Transaction ID Record'!$C$3:$D$510,2,FALSE)</f>
        <v>96797</v>
      </c>
    </row>
    <row r="181" spans="1:14" x14ac:dyDescent="0.35">
      <c r="A181" s="6" t="str">
        <f>TEXT(Table1[[#This Row],[DATE]],"MMMM")</f>
        <v>May</v>
      </c>
      <c r="B181" s="10">
        <v>44682</v>
      </c>
      <c r="C181" s="1" t="s">
        <v>421</v>
      </c>
      <c r="D181" s="1" t="str">
        <f>UPPER(Table1[[#This Row],[NAME2]])</f>
        <v>ADEBOLA SOLIS</v>
      </c>
      <c r="E181" s="1" t="s">
        <v>244</v>
      </c>
      <c r="F181" s="1" t="s">
        <v>245</v>
      </c>
      <c r="G181" s="1" t="s">
        <v>21</v>
      </c>
      <c r="H181" s="1" t="s">
        <v>246</v>
      </c>
      <c r="I181" s="1" t="s">
        <v>15</v>
      </c>
      <c r="J181" s="9">
        <v>29</v>
      </c>
      <c r="K181" s="1" t="str">
        <f>IF(Table1[[#This Row],[AGE]]&lt;=18,"CHILD",IF(Table1[[#This Row],[AGE]]&lt;=20,"TEEN",IF(Table1[[#This Row],[AGE]]&lt;=40,"ADULT",IF(Table1[[#This Row],[AGE]]&lt;=60,"SENIOR CITIZEN","OLD CITIZEN"))))</f>
        <v>ADULT</v>
      </c>
      <c r="L181" s="1" t="s">
        <v>24</v>
      </c>
      <c r="M181" s="1" t="s">
        <v>47</v>
      </c>
      <c r="N181" s="13">
        <f>VLOOKUP(Table1[[#This Row],[TRANSACTION ID]],'Transaction ID Record'!$C$3:$D$510,2,FALSE)</f>
        <v>187378</v>
      </c>
    </row>
    <row r="182" spans="1:14" x14ac:dyDescent="0.35">
      <c r="A182" s="6" t="str">
        <f>TEXT(Table1[[#This Row],[DATE]],"MMMM")</f>
        <v>May</v>
      </c>
      <c r="B182" s="10">
        <v>44682</v>
      </c>
      <c r="C182" s="1" t="s">
        <v>422</v>
      </c>
      <c r="D182" s="1" t="str">
        <f>UPPER(Table1[[#This Row],[NAME2]])</f>
        <v>BRYNNE NANKAM</v>
      </c>
      <c r="E182" s="1" t="s">
        <v>104</v>
      </c>
      <c r="F182" s="1" t="s">
        <v>806</v>
      </c>
      <c r="G182" s="1" t="s">
        <v>13</v>
      </c>
      <c r="H182" s="1" t="s">
        <v>105</v>
      </c>
      <c r="I182" s="1" t="s">
        <v>30</v>
      </c>
      <c r="J182" s="9">
        <v>64</v>
      </c>
      <c r="K182" s="1" t="str">
        <f>IF(Table1[[#This Row],[AGE]]&lt;=18,"CHILD",IF(Table1[[#This Row],[AGE]]&lt;=20,"TEEN",IF(Table1[[#This Row],[AGE]]&lt;=40,"ADULT",IF(Table1[[#This Row],[AGE]]&lt;=60,"SENIOR CITIZEN","OLD CITIZEN"))))</f>
        <v>OLD CITIZEN</v>
      </c>
      <c r="L182" s="1" t="s">
        <v>24</v>
      </c>
      <c r="M182" s="1" t="s">
        <v>61</v>
      </c>
      <c r="N182" s="13">
        <f>VLOOKUP(Table1[[#This Row],[TRANSACTION ID]],'Transaction ID Record'!$C$3:$D$510,2,FALSE)</f>
        <v>173520</v>
      </c>
    </row>
    <row r="183" spans="1:14" x14ac:dyDescent="0.35">
      <c r="A183" s="6" t="str">
        <f>TEXT(Table1[[#This Row],[DATE]],"MMMM")</f>
        <v>May</v>
      </c>
      <c r="B183" s="10">
        <v>44682</v>
      </c>
      <c r="C183" s="1" t="s">
        <v>423</v>
      </c>
      <c r="D183" s="1" t="str">
        <f>UPPER(Table1[[#This Row],[NAME2]])</f>
        <v>LESLY PORTER</v>
      </c>
      <c r="E183" s="1" t="s">
        <v>223</v>
      </c>
      <c r="F183" s="1" t="s">
        <v>224</v>
      </c>
      <c r="G183" s="1" t="s">
        <v>21</v>
      </c>
      <c r="H183" s="1" t="s">
        <v>225</v>
      </c>
      <c r="I183" s="1" t="s">
        <v>30</v>
      </c>
      <c r="J183" s="9">
        <v>68</v>
      </c>
      <c r="K183" s="1" t="str">
        <f>IF(Table1[[#This Row],[AGE]]&lt;=18,"CHILD",IF(Table1[[#This Row],[AGE]]&lt;=20,"TEEN",IF(Table1[[#This Row],[AGE]]&lt;=40,"ADULT",IF(Table1[[#This Row],[AGE]]&lt;=60,"SENIOR CITIZEN","OLD CITIZEN"))))</f>
        <v>OLD CITIZEN</v>
      </c>
      <c r="L183" s="1" t="s">
        <v>57</v>
      </c>
      <c r="M183" s="1" t="s">
        <v>17</v>
      </c>
      <c r="N183" s="13">
        <f>VLOOKUP(Table1[[#This Row],[TRANSACTION ID]],'Transaction ID Record'!$C$3:$D$510,2,FALSE)</f>
        <v>34281</v>
      </c>
    </row>
    <row r="184" spans="1:14" x14ac:dyDescent="0.35">
      <c r="A184" s="6" t="str">
        <f>TEXT(Table1[[#This Row],[DATE]],"MMMM")</f>
        <v>May</v>
      </c>
      <c r="B184" s="10">
        <v>44685</v>
      </c>
      <c r="C184" s="1" t="s">
        <v>424</v>
      </c>
      <c r="D184" s="1" t="str">
        <f>UPPER(Table1[[#This Row],[NAME2]])</f>
        <v>HIROKO PANOVSKY</v>
      </c>
      <c r="E184" s="1" t="s">
        <v>100</v>
      </c>
      <c r="F184" s="1" t="s">
        <v>101</v>
      </c>
      <c r="G184" s="1" t="s">
        <v>13</v>
      </c>
      <c r="H184" s="1" t="s">
        <v>102</v>
      </c>
      <c r="I184" s="1" t="s">
        <v>15</v>
      </c>
      <c r="J184" s="9">
        <v>59</v>
      </c>
      <c r="K184" s="1" t="str">
        <f>IF(Table1[[#This Row],[AGE]]&lt;=18,"CHILD",IF(Table1[[#This Row],[AGE]]&lt;=20,"TEEN",IF(Table1[[#This Row],[AGE]]&lt;=40,"ADULT",IF(Table1[[#This Row],[AGE]]&lt;=60,"SENIOR CITIZEN","OLD CITIZEN"))))</f>
        <v>SENIOR CITIZEN</v>
      </c>
      <c r="L184" s="1" t="s">
        <v>31</v>
      </c>
      <c r="M184" s="1" t="s">
        <v>25</v>
      </c>
      <c r="N184" s="13">
        <f>VLOOKUP(Table1[[#This Row],[TRANSACTION ID]],'Transaction ID Record'!$C$3:$D$510,2,FALSE)</f>
        <v>174108</v>
      </c>
    </row>
    <row r="185" spans="1:14" x14ac:dyDescent="0.35">
      <c r="A185" s="6" t="str">
        <f>TEXT(Table1[[#This Row],[DATE]],"MMMM")</f>
        <v>May</v>
      </c>
      <c r="B185" s="10">
        <v>44686</v>
      </c>
      <c r="C185" s="1" t="s">
        <v>425</v>
      </c>
      <c r="D185" s="1" t="str">
        <f>UPPER(Table1[[#This Row],[NAME2]])</f>
        <v>IVORY SELHORST</v>
      </c>
      <c r="E185" s="1" t="s">
        <v>71</v>
      </c>
      <c r="F185" s="1" t="s">
        <v>802</v>
      </c>
      <c r="G185" s="1" t="s">
        <v>21</v>
      </c>
      <c r="H185" s="1" t="s">
        <v>72</v>
      </c>
      <c r="I185" s="1" t="s">
        <v>23</v>
      </c>
      <c r="J185" s="9">
        <v>54</v>
      </c>
      <c r="K185" s="1" t="str">
        <f>IF(Table1[[#This Row],[AGE]]&lt;=18,"CHILD",IF(Table1[[#This Row],[AGE]]&lt;=20,"TEEN",IF(Table1[[#This Row],[AGE]]&lt;=40,"ADULT",IF(Table1[[#This Row],[AGE]]&lt;=60,"SENIOR CITIZEN","OLD CITIZEN"))))</f>
        <v>SENIOR CITIZEN</v>
      </c>
      <c r="L185" s="1" t="s">
        <v>66</v>
      </c>
      <c r="M185" s="1" t="s">
        <v>17</v>
      </c>
      <c r="N185" s="13">
        <f>VLOOKUP(Table1[[#This Row],[TRANSACTION ID]],'Transaction ID Record'!$C$3:$D$510,2,FALSE)</f>
        <v>52256</v>
      </c>
    </row>
    <row r="186" spans="1:14" x14ac:dyDescent="0.35">
      <c r="A186" s="6" t="str">
        <f>TEXT(Table1[[#This Row],[DATE]],"MMMM")</f>
        <v>May</v>
      </c>
      <c r="B186" s="10">
        <v>44686</v>
      </c>
      <c r="C186" s="1" t="s">
        <v>426</v>
      </c>
      <c r="D186" s="1" t="str">
        <f>UPPER(Table1[[#This Row],[NAME2]])</f>
        <v>KEHINDE BUSH</v>
      </c>
      <c r="E186" s="1" t="s">
        <v>427</v>
      </c>
      <c r="F186" s="1" t="s">
        <v>828</v>
      </c>
      <c r="G186" s="1" t="s">
        <v>21</v>
      </c>
      <c r="H186" s="1" t="s">
        <v>428</v>
      </c>
      <c r="I186" s="1" t="s">
        <v>15</v>
      </c>
      <c r="J186" s="9">
        <v>48</v>
      </c>
      <c r="K186" s="1" t="str">
        <f>IF(Table1[[#This Row],[AGE]]&lt;=18,"CHILD",IF(Table1[[#This Row],[AGE]]&lt;=20,"TEEN",IF(Table1[[#This Row],[AGE]]&lt;=40,"ADULT",IF(Table1[[#This Row],[AGE]]&lt;=60,"SENIOR CITIZEN","OLD CITIZEN"))))</f>
        <v>SENIOR CITIZEN</v>
      </c>
      <c r="L186" s="1" t="s">
        <v>37</v>
      </c>
      <c r="M186" s="1" t="s">
        <v>32</v>
      </c>
      <c r="N186" s="13">
        <f>VLOOKUP(Table1[[#This Row],[TRANSACTION ID]],'Transaction ID Record'!$C$3:$D$510,2,FALSE)</f>
        <v>109388</v>
      </c>
    </row>
    <row r="187" spans="1:14" x14ac:dyDescent="0.35">
      <c r="A187" s="6" t="str">
        <f>TEXT(Table1[[#This Row],[DATE]],"MMMM")</f>
        <v>May</v>
      </c>
      <c r="B187" s="10">
        <v>44688</v>
      </c>
      <c r="C187" s="1" t="s">
        <v>429</v>
      </c>
      <c r="D187" s="1" t="str">
        <f>UPPER(Table1[[#This Row],[NAME2]])</f>
        <v>LAEL CARTER</v>
      </c>
      <c r="E187" s="1" t="s">
        <v>430</v>
      </c>
      <c r="F187" s="1" t="s">
        <v>829</v>
      </c>
      <c r="G187" s="1" t="s">
        <v>21</v>
      </c>
      <c r="H187" s="1" t="s">
        <v>431</v>
      </c>
      <c r="I187" s="1" t="s">
        <v>15</v>
      </c>
      <c r="J187" s="9">
        <v>26</v>
      </c>
      <c r="K187" s="1" t="str">
        <f>IF(Table1[[#This Row],[AGE]]&lt;=18,"CHILD",IF(Table1[[#This Row],[AGE]]&lt;=20,"TEEN",IF(Table1[[#This Row],[AGE]]&lt;=40,"ADULT",IF(Table1[[#This Row],[AGE]]&lt;=60,"SENIOR CITIZEN","OLD CITIZEN"))))</f>
        <v>ADULT</v>
      </c>
      <c r="L187" s="1" t="s">
        <v>167</v>
      </c>
      <c r="M187" s="1" t="s">
        <v>32</v>
      </c>
      <c r="N187" s="13">
        <f>VLOOKUP(Table1[[#This Row],[TRANSACTION ID]],'Transaction ID Record'!$C$3:$D$510,2,FALSE)</f>
        <v>36769</v>
      </c>
    </row>
    <row r="188" spans="1:14" x14ac:dyDescent="0.35">
      <c r="A188" s="6" t="str">
        <f>TEXT(Table1[[#This Row],[DATE]],"MMMM")</f>
        <v>May</v>
      </c>
      <c r="B188" s="10">
        <v>44688</v>
      </c>
      <c r="C188" s="1" t="s">
        <v>432</v>
      </c>
      <c r="D188" s="1" t="str">
        <f>UPPER(Table1[[#This Row],[NAME2]])</f>
        <v>BENEDICT MILLER</v>
      </c>
      <c r="E188" s="1" t="s">
        <v>87</v>
      </c>
      <c r="F188" s="1" t="s">
        <v>88</v>
      </c>
      <c r="G188" s="1" t="s">
        <v>13</v>
      </c>
      <c r="H188" s="1" t="s">
        <v>89</v>
      </c>
      <c r="I188" s="1" t="s">
        <v>23</v>
      </c>
      <c r="J188" s="9">
        <v>36</v>
      </c>
      <c r="K188" s="1" t="str">
        <f>IF(Table1[[#This Row],[AGE]]&lt;=18,"CHILD",IF(Table1[[#This Row],[AGE]]&lt;=20,"TEEN",IF(Table1[[#This Row],[AGE]]&lt;=40,"ADULT",IF(Table1[[#This Row],[AGE]]&lt;=60,"SENIOR CITIZEN","OLD CITIZEN"))))</f>
        <v>ADULT</v>
      </c>
      <c r="L188" s="1" t="s">
        <v>66</v>
      </c>
      <c r="M188" s="1" t="s">
        <v>61</v>
      </c>
      <c r="N188" s="13">
        <f>VLOOKUP(Table1[[#This Row],[TRANSACTION ID]],'Transaction ID Record'!$C$3:$D$510,2,FALSE)</f>
        <v>7298</v>
      </c>
    </row>
    <row r="189" spans="1:14" x14ac:dyDescent="0.35">
      <c r="A189" s="6" t="str">
        <f>TEXT(Table1[[#This Row],[DATE]],"MMMM")</f>
        <v>May</v>
      </c>
      <c r="B189" s="10">
        <v>44689</v>
      </c>
      <c r="C189" s="1" t="s">
        <v>433</v>
      </c>
      <c r="D189" s="1" t="str">
        <f>UPPER(Table1[[#This Row],[NAME2]])</f>
        <v>ADEBOLA SOLIS</v>
      </c>
      <c r="E189" s="1" t="s">
        <v>244</v>
      </c>
      <c r="F189" s="1" t="s">
        <v>245</v>
      </c>
      <c r="G189" s="1" t="s">
        <v>21</v>
      </c>
      <c r="H189" s="1" t="s">
        <v>246</v>
      </c>
      <c r="I189" s="1" t="s">
        <v>15</v>
      </c>
      <c r="J189" s="9">
        <v>29</v>
      </c>
      <c r="K189" s="1" t="str">
        <f>IF(Table1[[#This Row],[AGE]]&lt;=18,"CHILD",IF(Table1[[#This Row],[AGE]]&lt;=20,"TEEN",IF(Table1[[#This Row],[AGE]]&lt;=40,"ADULT",IF(Table1[[#This Row],[AGE]]&lt;=60,"SENIOR CITIZEN","OLD CITIZEN"))))</f>
        <v>ADULT</v>
      </c>
      <c r="L189" s="1" t="s">
        <v>16</v>
      </c>
      <c r="M189" s="1" t="s">
        <v>25</v>
      </c>
      <c r="N189" s="13">
        <f>VLOOKUP(Table1[[#This Row],[TRANSACTION ID]],'Transaction ID Record'!$C$3:$D$510,2,FALSE)</f>
        <v>43605</v>
      </c>
    </row>
    <row r="190" spans="1:14" x14ac:dyDescent="0.35">
      <c r="A190" s="6" t="str">
        <f>TEXT(Table1[[#This Row],[DATE]],"MMMM")</f>
        <v>May</v>
      </c>
      <c r="B190" s="10">
        <v>44689</v>
      </c>
      <c r="C190" s="1" t="s">
        <v>434</v>
      </c>
      <c r="D190" s="1" t="str">
        <f>UPPER(Table1[[#This Row],[NAME2]])</f>
        <v>CYRUS SMITH</v>
      </c>
      <c r="E190" s="1" t="s">
        <v>265</v>
      </c>
      <c r="F190" s="1" t="s">
        <v>266</v>
      </c>
      <c r="G190" s="1" t="s">
        <v>13</v>
      </c>
      <c r="H190" s="1" t="s">
        <v>267</v>
      </c>
      <c r="I190" s="1" t="s">
        <v>15</v>
      </c>
      <c r="J190" s="9">
        <v>72</v>
      </c>
      <c r="K190" s="1" t="str">
        <f>IF(Table1[[#This Row],[AGE]]&lt;=18,"CHILD",IF(Table1[[#This Row],[AGE]]&lt;=20,"TEEN",IF(Table1[[#This Row],[AGE]]&lt;=40,"ADULT",IF(Table1[[#This Row],[AGE]]&lt;=60,"SENIOR CITIZEN","OLD CITIZEN"))))</f>
        <v>OLD CITIZEN</v>
      </c>
      <c r="L190" s="1" t="s">
        <v>57</v>
      </c>
      <c r="M190" s="1" t="s">
        <v>32</v>
      </c>
      <c r="N190" s="13">
        <f>VLOOKUP(Table1[[#This Row],[TRANSACTION ID]],'Transaction ID Record'!$C$3:$D$510,2,FALSE)</f>
        <v>27986</v>
      </c>
    </row>
    <row r="191" spans="1:14" x14ac:dyDescent="0.35">
      <c r="A191" s="6" t="str">
        <f>TEXT(Table1[[#This Row],[DATE]],"MMMM")</f>
        <v>May</v>
      </c>
      <c r="B191" s="10">
        <v>44690</v>
      </c>
      <c r="C191" s="1" t="s">
        <v>435</v>
      </c>
      <c r="D191" s="1" t="str">
        <f>UPPER(Table1[[#This Row],[NAME2]])</f>
        <v>BELL JUAREZ</v>
      </c>
      <c r="E191" s="1" t="s">
        <v>68</v>
      </c>
      <c r="F191" s="1" t="s">
        <v>801</v>
      </c>
      <c r="G191" s="1" t="s">
        <v>13</v>
      </c>
      <c r="H191" s="1" t="s">
        <v>69</v>
      </c>
      <c r="I191" s="1" t="s">
        <v>30</v>
      </c>
      <c r="J191" s="9">
        <v>71</v>
      </c>
      <c r="K191" s="1" t="str">
        <f>IF(Table1[[#This Row],[AGE]]&lt;=18,"CHILD",IF(Table1[[#This Row],[AGE]]&lt;=20,"TEEN",IF(Table1[[#This Row],[AGE]]&lt;=40,"ADULT",IF(Table1[[#This Row],[AGE]]&lt;=60,"SENIOR CITIZEN","OLD CITIZEN"))))</f>
        <v>OLD CITIZEN</v>
      </c>
      <c r="L191" s="1" t="s">
        <v>24</v>
      </c>
      <c r="M191" s="1" t="s">
        <v>25</v>
      </c>
      <c r="N191" s="13">
        <f>VLOOKUP(Table1[[#This Row],[TRANSACTION ID]],'Transaction ID Record'!$C$3:$D$510,2,FALSE)</f>
        <v>85755</v>
      </c>
    </row>
    <row r="192" spans="1:14" x14ac:dyDescent="0.35">
      <c r="A192" s="6" t="str">
        <f>TEXT(Table1[[#This Row],[DATE]],"MMMM")</f>
        <v>May</v>
      </c>
      <c r="B192" s="10">
        <v>44690</v>
      </c>
      <c r="C192" s="1" t="s">
        <v>436</v>
      </c>
      <c r="D192" s="1" t="str">
        <f>UPPER(Table1[[#This Row],[NAME2]])</f>
        <v>HIROKO PANOVSKY</v>
      </c>
      <c r="E192" s="1" t="s">
        <v>100</v>
      </c>
      <c r="F192" s="1" t="s">
        <v>101</v>
      </c>
      <c r="G192" s="1" t="s">
        <v>13</v>
      </c>
      <c r="H192" s="1" t="s">
        <v>102</v>
      </c>
      <c r="I192" s="1" t="s">
        <v>15</v>
      </c>
      <c r="J192" s="9">
        <v>59</v>
      </c>
      <c r="K192" s="1" t="str">
        <f>IF(Table1[[#This Row],[AGE]]&lt;=18,"CHILD",IF(Table1[[#This Row],[AGE]]&lt;=20,"TEEN",IF(Table1[[#This Row],[AGE]]&lt;=40,"ADULT",IF(Table1[[#This Row],[AGE]]&lt;=60,"SENIOR CITIZEN","OLD CITIZEN"))))</f>
        <v>SENIOR CITIZEN</v>
      </c>
      <c r="L192" s="1" t="s">
        <v>16</v>
      </c>
      <c r="M192" s="1" t="s">
        <v>47</v>
      </c>
      <c r="N192" s="13">
        <f>VLOOKUP(Table1[[#This Row],[TRANSACTION ID]],'Transaction ID Record'!$C$3:$D$510,2,FALSE)</f>
        <v>112323</v>
      </c>
    </row>
    <row r="193" spans="1:14" x14ac:dyDescent="0.35">
      <c r="A193" s="6" t="str">
        <f>TEXT(Table1[[#This Row],[DATE]],"MMMM")</f>
        <v>May</v>
      </c>
      <c r="B193" s="10">
        <v>44691</v>
      </c>
      <c r="C193" s="1" t="s">
        <v>437</v>
      </c>
      <c r="D193" s="1" t="str">
        <f>UPPER(Table1[[#This Row],[NAME2]])</f>
        <v>OLAYINKA CANINI</v>
      </c>
      <c r="E193" s="1" t="s">
        <v>319</v>
      </c>
      <c r="F193" s="1" t="s">
        <v>823</v>
      </c>
      <c r="G193" s="1" t="s">
        <v>21</v>
      </c>
      <c r="H193" s="1" t="s">
        <v>320</v>
      </c>
      <c r="I193" s="1" t="s">
        <v>30</v>
      </c>
      <c r="J193" s="9">
        <v>45</v>
      </c>
      <c r="K193" s="1" t="str">
        <f>IF(Table1[[#This Row],[AGE]]&lt;=18,"CHILD",IF(Table1[[#This Row],[AGE]]&lt;=20,"TEEN",IF(Table1[[#This Row],[AGE]]&lt;=40,"ADULT",IF(Table1[[#This Row],[AGE]]&lt;=60,"SENIOR CITIZEN","OLD CITIZEN"))))</f>
        <v>SENIOR CITIZEN</v>
      </c>
      <c r="L193" s="1" t="s">
        <v>31</v>
      </c>
      <c r="M193" s="1" t="s">
        <v>17</v>
      </c>
      <c r="N193" s="13">
        <f>VLOOKUP(Table1[[#This Row],[TRANSACTION ID]],'Transaction ID Record'!$C$3:$D$510,2,FALSE)</f>
        <v>100698</v>
      </c>
    </row>
    <row r="194" spans="1:14" x14ac:dyDescent="0.35">
      <c r="A194" s="6" t="str">
        <f>TEXT(Table1[[#This Row],[DATE]],"MMMM")</f>
        <v>May</v>
      </c>
      <c r="B194" s="10">
        <v>44691</v>
      </c>
      <c r="C194" s="1" t="s">
        <v>438</v>
      </c>
      <c r="D194" s="1" t="str">
        <f>UPPER(Table1[[#This Row],[NAME2]])</f>
        <v>LIBERTY BARNETT</v>
      </c>
      <c r="E194" s="1" t="s">
        <v>205</v>
      </c>
      <c r="F194" s="1" t="s">
        <v>206</v>
      </c>
      <c r="G194" s="1" t="s">
        <v>13</v>
      </c>
      <c r="H194" s="1" t="s">
        <v>207</v>
      </c>
      <c r="I194" s="1" t="s">
        <v>15</v>
      </c>
      <c r="J194" s="9">
        <v>39</v>
      </c>
      <c r="K194" s="1" t="str">
        <f>IF(Table1[[#This Row],[AGE]]&lt;=18,"CHILD",IF(Table1[[#This Row],[AGE]]&lt;=20,"TEEN",IF(Table1[[#This Row],[AGE]]&lt;=40,"ADULT",IF(Table1[[#This Row],[AGE]]&lt;=60,"SENIOR CITIZEN","OLD CITIZEN"))))</f>
        <v>ADULT</v>
      </c>
      <c r="L194" s="1" t="s">
        <v>16</v>
      </c>
      <c r="M194" s="1" t="s">
        <v>17</v>
      </c>
      <c r="N194" s="13">
        <f>VLOOKUP(Table1[[#This Row],[TRANSACTION ID]],'Transaction ID Record'!$C$3:$D$510,2,FALSE)</f>
        <v>52909</v>
      </c>
    </row>
    <row r="195" spans="1:14" x14ac:dyDescent="0.35">
      <c r="A195" s="6" t="str">
        <f>TEXT(Table1[[#This Row],[DATE]],"MMMM")</f>
        <v>May</v>
      </c>
      <c r="B195" s="10">
        <v>44691</v>
      </c>
      <c r="C195" s="1" t="s">
        <v>439</v>
      </c>
      <c r="D195" s="1" t="str">
        <f>UPPER(Table1[[#This Row],[NAME2]])</f>
        <v>HIROKO PANOVSKY</v>
      </c>
      <c r="E195" s="1" t="s">
        <v>100</v>
      </c>
      <c r="F195" s="1" t="s">
        <v>101</v>
      </c>
      <c r="G195" s="1" t="s">
        <v>13</v>
      </c>
      <c r="H195" s="1" t="s">
        <v>102</v>
      </c>
      <c r="I195" s="1" t="s">
        <v>15</v>
      </c>
      <c r="J195" s="9">
        <v>59</v>
      </c>
      <c r="K195" s="1" t="str">
        <f>IF(Table1[[#This Row],[AGE]]&lt;=18,"CHILD",IF(Table1[[#This Row],[AGE]]&lt;=20,"TEEN",IF(Table1[[#This Row],[AGE]]&lt;=40,"ADULT",IF(Table1[[#This Row],[AGE]]&lt;=60,"SENIOR CITIZEN","OLD CITIZEN"))))</f>
        <v>SENIOR CITIZEN</v>
      </c>
      <c r="L195" s="1" t="s">
        <v>57</v>
      </c>
      <c r="M195" s="1" t="s">
        <v>17</v>
      </c>
      <c r="N195" s="13">
        <f>VLOOKUP(Table1[[#This Row],[TRANSACTION ID]],'Transaction ID Record'!$C$3:$D$510,2,FALSE)</f>
        <v>146076</v>
      </c>
    </row>
    <row r="196" spans="1:14" x14ac:dyDescent="0.35">
      <c r="A196" s="6" t="str">
        <f>TEXT(Table1[[#This Row],[DATE]],"MMMM")</f>
        <v>May</v>
      </c>
      <c r="B196" s="10">
        <v>44692</v>
      </c>
      <c r="C196" s="1" t="s">
        <v>440</v>
      </c>
      <c r="D196" s="1" t="str">
        <f>UPPER(Table1[[#This Row],[NAME2]])</f>
        <v>ADENIYI WEAVER</v>
      </c>
      <c r="E196" s="1" t="s">
        <v>196</v>
      </c>
      <c r="F196" s="1" t="s">
        <v>197</v>
      </c>
      <c r="G196" s="1" t="s">
        <v>13</v>
      </c>
      <c r="H196" s="1" t="s">
        <v>198</v>
      </c>
      <c r="I196" s="1" t="s">
        <v>30</v>
      </c>
      <c r="J196" s="9">
        <v>39</v>
      </c>
      <c r="K196" s="1" t="str">
        <f>IF(Table1[[#This Row],[AGE]]&lt;=18,"CHILD",IF(Table1[[#This Row],[AGE]]&lt;=20,"TEEN",IF(Table1[[#This Row],[AGE]]&lt;=40,"ADULT",IF(Table1[[#This Row],[AGE]]&lt;=60,"SENIOR CITIZEN","OLD CITIZEN"))))</f>
        <v>ADULT</v>
      </c>
      <c r="L196" s="1" t="s">
        <v>37</v>
      </c>
      <c r="M196" s="1" t="s">
        <v>25</v>
      </c>
      <c r="N196" s="13">
        <f>VLOOKUP(Table1[[#This Row],[TRANSACTION ID]],'Transaction ID Record'!$C$3:$D$510,2,FALSE)</f>
        <v>137283</v>
      </c>
    </row>
    <row r="197" spans="1:14" x14ac:dyDescent="0.35">
      <c r="A197" s="6" t="str">
        <f>TEXT(Table1[[#This Row],[DATE]],"MMMM")</f>
        <v>May</v>
      </c>
      <c r="B197" s="10">
        <v>44692</v>
      </c>
      <c r="C197" s="1" t="s">
        <v>441</v>
      </c>
      <c r="D197" s="1" t="str">
        <f>UPPER(Table1[[#This Row],[NAME2]])</f>
        <v>TAOHEED PERKINS</v>
      </c>
      <c r="E197" s="1" t="s">
        <v>107</v>
      </c>
      <c r="F197" s="1" t="s">
        <v>807</v>
      </c>
      <c r="G197" s="1" t="s">
        <v>21</v>
      </c>
      <c r="H197" s="1" t="s">
        <v>108</v>
      </c>
      <c r="I197" s="1" t="s">
        <v>15</v>
      </c>
      <c r="J197" s="9">
        <v>73</v>
      </c>
      <c r="K197" s="1" t="str">
        <f>IF(Table1[[#This Row],[AGE]]&lt;=18,"CHILD",IF(Table1[[#This Row],[AGE]]&lt;=20,"TEEN",IF(Table1[[#This Row],[AGE]]&lt;=40,"ADULT",IF(Table1[[#This Row],[AGE]]&lt;=60,"SENIOR CITIZEN","OLD CITIZEN"))))</f>
        <v>OLD CITIZEN</v>
      </c>
      <c r="L197" s="1" t="s">
        <v>151</v>
      </c>
      <c r="M197" s="1" t="s">
        <v>47</v>
      </c>
      <c r="N197" s="13">
        <f>VLOOKUP(Table1[[#This Row],[TRANSACTION ID]],'Transaction ID Record'!$C$3:$D$510,2,FALSE)</f>
        <v>120178</v>
      </c>
    </row>
    <row r="198" spans="1:14" x14ac:dyDescent="0.35">
      <c r="A198" s="6" t="str">
        <f>TEXT(Table1[[#This Row],[DATE]],"MMMM")</f>
        <v>May</v>
      </c>
      <c r="B198" s="10">
        <v>44693</v>
      </c>
      <c r="C198" s="1" t="s">
        <v>442</v>
      </c>
      <c r="D198" s="1" t="str">
        <f>UPPER(Table1[[#This Row],[NAME2]])</f>
        <v>SAHEED THOMAS</v>
      </c>
      <c r="E198" s="1" t="s">
        <v>443</v>
      </c>
      <c r="F198" s="1" t="s">
        <v>830</v>
      </c>
      <c r="G198" s="1" t="s">
        <v>13</v>
      </c>
      <c r="H198" s="1" t="s">
        <v>444</v>
      </c>
      <c r="I198" s="1" t="s">
        <v>15</v>
      </c>
      <c r="J198" s="9">
        <v>28</v>
      </c>
      <c r="K198" s="1" t="str">
        <f>IF(Table1[[#This Row],[AGE]]&lt;=18,"CHILD",IF(Table1[[#This Row],[AGE]]&lt;=20,"TEEN",IF(Table1[[#This Row],[AGE]]&lt;=40,"ADULT",IF(Table1[[#This Row],[AGE]]&lt;=60,"SENIOR CITIZEN","OLD CITIZEN"))))</f>
        <v>ADULT</v>
      </c>
      <c r="L198" s="1" t="s">
        <v>66</v>
      </c>
      <c r="M198" s="1" t="s">
        <v>17</v>
      </c>
      <c r="N198" s="13">
        <f>VLOOKUP(Table1[[#This Row],[TRANSACTION ID]],'Transaction ID Record'!$C$3:$D$510,2,FALSE)</f>
        <v>36312</v>
      </c>
    </row>
    <row r="199" spans="1:14" x14ac:dyDescent="0.35">
      <c r="A199" s="6" t="str">
        <f>TEXT(Table1[[#This Row],[DATE]],"MMMM")</f>
        <v>May</v>
      </c>
      <c r="B199" s="10">
        <v>44694</v>
      </c>
      <c r="C199" s="1" t="s">
        <v>445</v>
      </c>
      <c r="D199" s="1" t="str">
        <f>UPPER(Table1[[#This Row],[NAME2]])</f>
        <v>EHINDERO ADAMS</v>
      </c>
      <c r="E199" s="1" t="s">
        <v>446</v>
      </c>
      <c r="F199" s="1" t="s">
        <v>447</v>
      </c>
      <c r="G199" s="1" t="s">
        <v>21</v>
      </c>
      <c r="H199" s="1" t="s">
        <v>448</v>
      </c>
      <c r="I199" s="1" t="s">
        <v>23</v>
      </c>
      <c r="J199" s="9">
        <v>75</v>
      </c>
      <c r="K199" s="1" t="str">
        <f>IF(Table1[[#This Row],[AGE]]&lt;=18,"CHILD",IF(Table1[[#This Row],[AGE]]&lt;=20,"TEEN",IF(Table1[[#This Row],[AGE]]&lt;=40,"ADULT",IF(Table1[[#This Row],[AGE]]&lt;=60,"SENIOR CITIZEN","OLD CITIZEN"))))</f>
        <v>OLD CITIZEN</v>
      </c>
      <c r="L199" s="1" t="s">
        <v>24</v>
      </c>
      <c r="M199" s="1" t="s">
        <v>47</v>
      </c>
      <c r="N199" s="13">
        <f>VLOOKUP(Table1[[#This Row],[TRANSACTION ID]],'Transaction ID Record'!$C$3:$D$510,2,FALSE)</f>
        <v>21190</v>
      </c>
    </row>
    <row r="200" spans="1:14" x14ac:dyDescent="0.35">
      <c r="A200" s="6" t="str">
        <f>TEXT(Table1[[#This Row],[DATE]],"MMMM")</f>
        <v>May</v>
      </c>
      <c r="B200" s="10">
        <v>44694</v>
      </c>
      <c r="C200" s="1" t="s">
        <v>449</v>
      </c>
      <c r="D200" s="1" t="str">
        <f>UPPER(Table1[[#This Row],[NAME2]])</f>
        <v>PETER ADAMS</v>
      </c>
      <c r="E200" s="1" t="s">
        <v>162</v>
      </c>
      <c r="F200" s="1" t="s">
        <v>811</v>
      </c>
      <c r="G200" s="1" t="s">
        <v>13</v>
      </c>
      <c r="H200" s="1" t="s">
        <v>163</v>
      </c>
      <c r="I200" s="1" t="s">
        <v>15</v>
      </c>
      <c r="J200" s="9">
        <v>64</v>
      </c>
      <c r="K200" s="1" t="str">
        <f>IF(Table1[[#This Row],[AGE]]&lt;=18,"CHILD",IF(Table1[[#This Row],[AGE]]&lt;=20,"TEEN",IF(Table1[[#This Row],[AGE]]&lt;=40,"ADULT",IF(Table1[[#This Row],[AGE]]&lt;=60,"SENIOR CITIZEN","OLD CITIZEN"))))</f>
        <v>OLD CITIZEN</v>
      </c>
      <c r="L200" s="1" t="s">
        <v>37</v>
      </c>
      <c r="M200" s="1" t="s">
        <v>47</v>
      </c>
      <c r="N200" s="13">
        <f>VLOOKUP(Table1[[#This Row],[TRANSACTION ID]],'Transaction ID Record'!$C$3:$D$510,2,FALSE)</f>
        <v>128604</v>
      </c>
    </row>
    <row r="201" spans="1:14" x14ac:dyDescent="0.35">
      <c r="A201" s="6" t="str">
        <f>TEXT(Table1[[#This Row],[DATE]],"MMMM")</f>
        <v>May</v>
      </c>
      <c r="B201" s="10">
        <v>44695</v>
      </c>
      <c r="C201" s="1" t="s">
        <v>450</v>
      </c>
      <c r="D201" s="1" t="str">
        <f>UPPER(Table1[[#This Row],[NAME2]])</f>
        <v>AYO EZICHI</v>
      </c>
      <c r="E201" s="1" t="s">
        <v>269</v>
      </c>
      <c r="F201" s="1" t="s">
        <v>819</v>
      </c>
      <c r="G201" s="1" t="s">
        <v>13</v>
      </c>
      <c r="H201" s="1" t="s">
        <v>270</v>
      </c>
      <c r="I201" s="1" t="s">
        <v>15</v>
      </c>
      <c r="J201" s="9">
        <v>40</v>
      </c>
      <c r="K201" s="1" t="str">
        <f>IF(Table1[[#This Row],[AGE]]&lt;=18,"CHILD",IF(Table1[[#This Row],[AGE]]&lt;=20,"TEEN",IF(Table1[[#This Row],[AGE]]&lt;=40,"ADULT",IF(Table1[[#This Row],[AGE]]&lt;=60,"SENIOR CITIZEN","OLD CITIZEN"))))</f>
        <v>ADULT</v>
      </c>
      <c r="L201" s="1" t="s">
        <v>37</v>
      </c>
      <c r="M201" s="1" t="s">
        <v>47</v>
      </c>
      <c r="N201" s="13">
        <f>VLOOKUP(Table1[[#This Row],[TRANSACTION ID]],'Transaction ID Record'!$C$3:$D$510,2,FALSE)</f>
        <v>83753</v>
      </c>
    </row>
    <row r="202" spans="1:14" x14ac:dyDescent="0.35">
      <c r="A202" s="6" t="str">
        <f>TEXT(Table1[[#This Row],[DATE]],"MMMM")</f>
        <v>May</v>
      </c>
      <c r="B202" s="10">
        <v>44695</v>
      </c>
      <c r="C202" s="1" t="s">
        <v>451</v>
      </c>
      <c r="D202" s="1" t="str">
        <f>UPPER(Table1[[#This Row],[NAME2]])</f>
        <v>ARETHA PERKINS</v>
      </c>
      <c r="E202" s="1" t="s">
        <v>232</v>
      </c>
      <c r="F202" s="1" t="s">
        <v>816</v>
      </c>
      <c r="G202" s="1" t="s">
        <v>21</v>
      </c>
      <c r="H202" s="1" t="s">
        <v>233</v>
      </c>
      <c r="I202" s="1" t="s">
        <v>15</v>
      </c>
      <c r="J202" s="9">
        <v>23</v>
      </c>
      <c r="K202" s="1" t="str">
        <f>IF(Table1[[#This Row],[AGE]]&lt;=18,"CHILD",IF(Table1[[#This Row],[AGE]]&lt;=20,"TEEN",IF(Table1[[#This Row],[AGE]]&lt;=40,"ADULT",IF(Table1[[#This Row],[AGE]]&lt;=60,"SENIOR CITIZEN","OLD CITIZEN"))))</f>
        <v>ADULT</v>
      </c>
      <c r="L202" s="1" t="s">
        <v>167</v>
      </c>
      <c r="M202" s="1" t="s">
        <v>25</v>
      </c>
      <c r="N202" s="13">
        <f>VLOOKUP(Table1[[#This Row],[TRANSACTION ID]],'Transaction ID Record'!$C$3:$D$510,2,FALSE)</f>
        <v>23489</v>
      </c>
    </row>
    <row r="203" spans="1:14" x14ac:dyDescent="0.35">
      <c r="A203" s="6" t="str">
        <f>TEXT(Table1[[#This Row],[DATE]],"MMMM")</f>
        <v>May</v>
      </c>
      <c r="B203" s="10">
        <v>44696</v>
      </c>
      <c r="C203" s="1" t="s">
        <v>452</v>
      </c>
      <c r="D203" s="1" t="str">
        <f>UPPER(Table1[[#This Row],[NAME2]])</f>
        <v>JERRY ELLIS</v>
      </c>
      <c r="E203" s="1" t="s">
        <v>339</v>
      </c>
      <c r="F203" s="1" t="s">
        <v>340</v>
      </c>
      <c r="G203" s="1" t="s">
        <v>13</v>
      </c>
      <c r="H203" s="1" t="s">
        <v>341</v>
      </c>
      <c r="I203" s="1" t="s">
        <v>23</v>
      </c>
      <c r="J203" s="9">
        <v>29</v>
      </c>
      <c r="K203" s="1" t="str">
        <f>IF(Table1[[#This Row],[AGE]]&lt;=18,"CHILD",IF(Table1[[#This Row],[AGE]]&lt;=20,"TEEN",IF(Table1[[#This Row],[AGE]]&lt;=40,"ADULT",IF(Table1[[#This Row],[AGE]]&lt;=60,"SENIOR CITIZEN","OLD CITIZEN"))))</f>
        <v>ADULT</v>
      </c>
      <c r="L203" s="1" t="s">
        <v>37</v>
      </c>
      <c r="M203" s="1" t="s">
        <v>61</v>
      </c>
      <c r="N203" s="13">
        <f>VLOOKUP(Table1[[#This Row],[TRANSACTION ID]],'Transaction ID Record'!$C$3:$D$510,2,FALSE)</f>
        <v>54096</v>
      </c>
    </row>
    <row r="204" spans="1:14" x14ac:dyDescent="0.35">
      <c r="A204" s="6" t="str">
        <f>TEXT(Table1[[#This Row],[DATE]],"MMMM")</f>
        <v>May</v>
      </c>
      <c r="B204" s="10">
        <v>44698</v>
      </c>
      <c r="C204" s="1" t="s">
        <v>453</v>
      </c>
      <c r="D204" s="1" t="str">
        <f>UPPER(Table1[[#This Row],[NAME2]])</f>
        <v>KEHINDE BUSH</v>
      </c>
      <c r="E204" s="1" t="s">
        <v>427</v>
      </c>
      <c r="F204" s="1" t="s">
        <v>828</v>
      </c>
      <c r="G204" s="1" t="s">
        <v>21</v>
      </c>
      <c r="H204" s="1" t="s">
        <v>428</v>
      </c>
      <c r="I204" s="1" t="s">
        <v>15</v>
      </c>
      <c r="J204" s="9">
        <v>48</v>
      </c>
      <c r="K204" s="1" t="str">
        <f>IF(Table1[[#This Row],[AGE]]&lt;=18,"CHILD",IF(Table1[[#This Row],[AGE]]&lt;=20,"TEEN",IF(Table1[[#This Row],[AGE]]&lt;=40,"ADULT",IF(Table1[[#This Row],[AGE]]&lt;=60,"SENIOR CITIZEN","OLD CITIZEN"))))</f>
        <v>SENIOR CITIZEN</v>
      </c>
      <c r="L204" s="1" t="s">
        <v>52</v>
      </c>
      <c r="M204" s="1" t="s">
        <v>17</v>
      </c>
      <c r="N204" s="13">
        <f>VLOOKUP(Table1[[#This Row],[TRANSACTION ID]],'Transaction ID Record'!$C$3:$D$510,2,FALSE)</f>
        <v>78288</v>
      </c>
    </row>
    <row r="205" spans="1:14" x14ac:dyDescent="0.35">
      <c r="A205" s="6" t="str">
        <f>TEXT(Table1[[#This Row],[DATE]],"MMMM")</f>
        <v>May</v>
      </c>
      <c r="B205" s="10">
        <v>44698</v>
      </c>
      <c r="C205" s="1" t="s">
        <v>454</v>
      </c>
      <c r="D205" s="1" t="str">
        <f>UPPER(Table1[[#This Row],[NAME2]])</f>
        <v>TAIBAT DENNIS</v>
      </c>
      <c r="E205" s="1" t="s">
        <v>327</v>
      </c>
      <c r="F205" s="1" t="s">
        <v>328</v>
      </c>
      <c r="G205" s="1" t="s">
        <v>13</v>
      </c>
      <c r="H205" s="1" t="s">
        <v>329</v>
      </c>
      <c r="I205" s="1" t="s">
        <v>23</v>
      </c>
      <c r="J205" s="9">
        <v>37</v>
      </c>
      <c r="K205" s="1" t="str">
        <f>IF(Table1[[#This Row],[AGE]]&lt;=18,"CHILD",IF(Table1[[#This Row],[AGE]]&lt;=20,"TEEN",IF(Table1[[#This Row],[AGE]]&lt;=40,"ADULT",IF(Table1[[#This Row],[AGE]]&lt;=60,"SENIOR CITIZEN","OLD CITIZEN"))))</f>
        <v>ADULT</v>
      </c>
      <c r="L205" s="1" t="s">
        <v>57</v>
      </c>
      <c r="M205" s="1" t="s">
        <v>61</v>
      </c>
      <c r="N205" s="13">
        <f>VLOOKUP(Table1[[#This Row],[TRANSACTION ID]],'Transaction ID Record'!$C$3:$D$510,2,FALSE)</f>
        <v>111982</v>
      </c>
    </row>
    <row r="206" spans="1:14" x14ac:dyDescent="0.35">
      <c r="A206" s="6" t="str">
        <f>TEXT(Table1[[#This Row],[DATE]],"MMMM")</f>
        <v>May</v>
      </c>
      <c r="B206" s="10">
        <v>44699</v>
      </c>
      <c r="C206" s="1" t="s">
        <v>455</v>
      </c>
      <c r="D206" s="1" t="str">
        <f>UPPER(Table1[[#This Row],[NAME2]])</f>
        <v>ADELEKE FITZPATRICK</v>
      </c>
      <c r="E206" s="1" t="s">
        <v>121</v>
      </c>
      <c r="F206" s="1" t="s">
        <v>122</v>
      </c>
      <c r="G206" s="1" t="s">
        <v>13</v>
      </c>
      <c r="H206" s="1" t="s">
        <v>123</v>
      </c>
      <c r="I206" s="1" t="s">
        <v>15</v>
      </c>
      <c r="J206" s="9">
        <v>59</v>
      </c>
      <c r="K206" s="1" t="str">
        <f>IF(Table1[[#This Row],[AGE]]&lt;=18,"CHILD",IF(Table1[[#This Row],[AGE]]&lt;=20,"TEEN",IF(Table1[[#This Row],[AGE]]&lt;=40,"ADULT",IF(Table1[[#This Row],[AGE]]&lt;=60,"SENIOR CITIZEN","OLD CITIZEN"))))</f>
        <v>SENIOR CITIZEN</v>
      </c>
      <c r="L206" s="1" t="s">
        <v>31</v>
      </c>
      <c r="M206" s="1" t="s">
        <v>25</v>
      </c>
      <c r="N206" s="13">
        <f>VLOOKUP(Table1[[#This Row],[TRANSACTION ID]],'Transaction ID Record'!$C$3:$D$510,2,FALSE)</f>
        <v>14000</v>
      </c>
    </row>
    <row r="207" spans="1:14" x14ac:dyDescent="0.35">
      <c r="A207" s="6" t="str">
        <f>TEXT(Table1[[#This Row],[DATE]],"MMMM")</f>
        <v>May</v>
      </c>
      <c r="B207" s="10">
        <v>44699</v>
      </c>
      <c r="C207" s="1" t="s">
        <v>456</v>
      </c>
      <c r="D207" s="1" t="str">
        <f>UPPER(Table1[[#This Row],[NAME2]])</f>
        <v>LANI KEY</v>
      </c>
      <c r="E207" s="1" t="s">
        <v>92</v>
      </c>
      <c r="F207" s="1" t="s">
        <v>804</v>
      </c>
      <c r="G207" s="1" t="s">
        <v>21</v>
      </c>
      <c r="H207" s="1" t="s">
        <v>93</v>
      </c>
      <c r="I207" s="1" t="s">
        <v>23</v>
      </c>
      <c r="J207" s="9">
        <v>31</v>
      </c>
      <c r="K207" s="1" t="str">
        <f>IF(Table1[[#This Row],[AGE]]&lt;=18,"CHILD",IF(Table1[[#This Row],[AGE]]&lt;=20,"TEEN",IF(Table1[[#This Row],[AGE]]&lt;=40,"ADULT",IF(Table1[[#This Row],[AGE]]&lt;=60,"SENIOR CITIZEN","OLD CITIZEN"))))</f>
        <v>ADULT</v>
      </c>
      <c r="L207" s="1" t="s">
        <v>57</v>
      </c>
      <c r="M207" s="1" t="s">
        <v>32</v>
      </c>
      <c r="N207" s="13">
        <f>VLOOKUP(Table1[[#This Row],[TRANSACTION ID]],'Transaction ID Record'!$C$3:$D$510,2,FALSE)</f>
        <v>22830</v>
      </c>
    </row>
    <row r="208" spans="1:14" x14ac:dyDescent="0.35">
      <c r="A208" s="6" t="str">
        <f>TEXT(Table1[[#This Row],[DATE]],"MMMM")</f>
        <v>May</v>
      </c>
      <c r="B208" s="10">
        <v>44700</v>
      </c>
      <c r="C208" s="1" t="s">
        <v>457</v>
      </c>
      <c r="D208" s="1" t="str">
        <f>UPPER(Table1[[#This Row],[NAME2]])</f>
        <v>NOBLE HICKS</v>
      </c>
      <c r="E208" s="1" t="s">
        <v>299</v>
      </c>
      <c r="F208" s="1" t="s">
        <v>300</v>
      </c>
      <c r="G208" s="1" t="s">
        <v>13</v>
      </c>
      <c r="H208" s="1" t="s">
        <v>301</v>
      </c>
      <c r="I208" s="1" t="s">
        <v>30</v>
      </c>
      <c r="J208" s="9">
        <v>76</v>
      </c>
      <c r="K208" s="1" t="str">
        <f>IF(Table1[[#This Row],[AGE]]&lt;=18,"CHILD",IF(Table1[[#This Row],[AGE]]&lt;=20,"TEEN",IF(Table1[[#This Row],[AGE]]&lt;=40,"ADULT",IF(Table1[[#This Row],[AGE]]&lt;=60,"SENIOR CITIZEN","OLD CITIZEN"))))</f>
        <v>OLD CITIZEN</v>
      </c>
      <c r="L208" s="1" t="s">
        <v>31</v>
      </c>
      <c r="M208" s="1" t="s">
        <v>47</v>
      </c>
      <c r="N208" s="13">
        <f>VLOOKUP(Table1[[#This Row],[TRANSACTION ID]],'Transaction ID Record'!$C$3:$D$510,2,FALSE)</f>
        <v>125448</v>
      </c>
    </row>
    <row r="209" spans="1:14" x14ac:dyDescent="0.35">
      <c r="A209" s="6" t="str">
        <f>TEXT(Table1[[#This Row],[DATE]],"MMMM")</f>
        <v>May</v>
      </c>
      <c r="B209" s="10">
        <v>44701</v>
      </c>
      <c r="C209" s="1" t="s">
        <v>458</v>
      </c>
      <c r="D209" s="1" t="str">
        <f>UPPER(Table1[[#This Row],[NAME2]])</f>
        <v>ODUMOSU DUKE</v>
      </c>
      <c r="E209" s="1" t="s">
        <v>59</v>
      </c>
      <c r="F209" s="1" t="s">
        <v>800</v>
      </c>
      <c r="G209" s="1" t="s">
        <v>13</v>
      </c>
      <c r="H209" s="1" t="s">
        <v>60</v>
      </c>
      <c r="I209" s="1" t="s">
        <v>15</v>
      </c>
      <c r="J209" s="9">
        <v>48</v>
      </c>
      <c r="K209" s="1" t="str">
        <f>IF(Table1[[#This Row],[AGE]]&lt;=18,"CHILD",IF(Table1[[#This Row],[AGE]]&lt;=20,"TEEN",IF(Table1[[#This Row],[AGE]]&lt;=40,"ADULT",IF(Table1[[#This Row],[AGE]]&lt;=60,"SENIOR CITIZEN","OLD CITIZEN"))))</f>
        <v>SENIOR CITIZEN</v>
      </c>
      <c r="L209" s="1" t="s">
        <v>37</v>
      </c>
      <c r="M209" s="1" t="s">
        <v>32</v>
      </c>
      <c r="N209" s="13">
        <f>VLOOKUP(Table1[[#This Row],[TRANSACTION ID]],'Transaction ID Record'!$C$3:$D$510,2,FALSE)</f>
        <v>32478</v>
      </c>
    </row>
    <row r="210" spans="1:14" x14ac:dyDescent="0.35">
      <c r="A210" s="6" t="str">
        <f>TEXT(Table1[[#This Row],[DATE]],"MMMM")</f>
        <v>May</v>
      </c>
      <c r="B210" s="10">
        <v>44701</v>
      </c>
      <c r="C210" s="1" t="s">
        <v>459</v>
      </c>
      <c r="D210" s="1" t="str">
        <f>UPPER(Table1[[#This Row],[NAME2]])</f>
        <v>GEORGE CLUBBS</v>
      </c>
      <c r="E210" s="1" t="s">
        <v>209</v>
      </c>
      <c r="F210" s="1" t="s">
        <v>814</v>
      </c>
      <c r="G210" s="1" t="s">
        <v>21</v>
      </c>
      <c r="H210" s="1" t="s">
        <v>210</v>
      </c>
      <c r="I210" s="1" t="s">
        <v>23</v>
      </c>
      <c r="J210" s="9">
        <v>39</v>
      </c>
      <c r="K210" s="1" t="str">
        <f>IF(Table1[[#This Row],[AGE]]&lt;=18,"CHILD",IF(Table1[[#This Row],[AGE]]&lt;=20,"TEEN",IF(Table1[[#This Row],[AGE]]&lt;=40,"ADULT",IF(Table1[[#This Row],[AGE]]&lt;=60,"SENIOR CITIZEN","OLD CITIZEN"))))</f>
        <v>ADULT</v>
      </c>
      <c r="L210" s="1" t="s">
        <v>37</v>
      </c>
      <c r="M210" s="1" t="s">
        <v>17</v>
      </c>
      <c r="N210" s="13">
        <f>VLOOKUP(Table1[[#This Row],[TRANSACTION ID]],'Transaction ID Record'!$C$3:$D$510,2,FALSE)</f>
        <v>116999</v>
      </c>
    </row>
    <row r="211" spans="1:14" x14ac:dyDescent="0.35">
      <c r="A211" s="6" t="str">
        <f>TEXT(Table1[[#This Row],[DATE]],"MMMM")</f>
        <v>May</v>
      </c>
      <c r="B211" s="10">
        <v>44701</v>
      </c>
      <c r="C211" s="1" t="s">
        <v>460</v>
      </c>
      <c r="D211" s="1" t="str">
        <f>UPPER(Table1[[#This Row],[NAME2]])</f>
        <v>THOMAS BYRD</v>
      </c>
      <c r="E211" s="1" t="s">
        <v>369</v>
      </c>
      <c r="F211" s="1" t="s">
        <v>826</v>
      </c>
      <c r="G211" s="1" t="s">
        <v>13</v>
      </c>
      <c r="H211" s="1" t="s">
        <v>370</v>
      </c>
      <c r="I211" s="1" t="s">
        <v>30</v>
      </c>
      <c r="J211" s="9">
        <v>32</v>
      </c>
      <c r="K211" s="1" t="str">
        <f>IF(Table1[[#This Row],[AGE]]&lt;=18,"CHILD",IF(Table1[[#This Row],[AGE]]&lt;=20,"TEEN",IF(Table1[[#This Row],[AGE]]&lt;=40,"ADULT",IF(Table1[[#This Row],[AGE]]&lt;=60,"SENIOR CITIZEN","OLD CITIZEN"))))</f>
        <v>ADULT</v>
      </c>
      <c r="L211" s="1" t="s">
        <v>16</v>
      </c>
      <c r="M211" s="1" t="s">
        <v>61</v>
      </c>
      <c r="N211" s="13">
        <f>VLOOKUP(Table1[[#This Row],[TRANSACTION ID]],'Transaction ID Record'!$C$3:$D$510,2,FALSE)</f>
        <v>40308</v>
      </c>
    </row>
    <row r="212" spans="1:14" x14ac:dyDescent="0.35">
      <c r="A212" s="6" t="str">
        <f>TEXT(Table1[[#This Row],[DATE]],"MMMM")</f>
        <v>May</v>
      </c>
      <c r="B212" s="10">
        <v>44701</v>
      </c>
      <c r="C212" s="1" t="s">
        <v>461</v>
      </c>
      <c r="D212" s="1" t="str">
        <f>UPPER(Table1[[#This Row],[NAME2]])</f>
        <v>OLUWAFUNMI JAMES</v>
      </c>
      <c r="E212" s="1" t="s">
        <v>462</v>
      </c>
      <c r="F212" s="1" t="s">
        <v>831</v>
      </c>
      <c r="G212" s="1" t="s">
        <v>13</v>
      </c>
      <c r="H212" s="1" t="s">
        <v>463</v>
      </c>
      <c r="I212" s="1" t="s">
        <v>23</v>
      </c>
      <c r="J212" s="9">
        <v>48</v>
      </c>
      <c r="K212" s="1" t="str">
        <f>IF(Table1[[#This Row],[AGE]]&lt;=18,"CHILD",IF(Table1[[#This Row],[AGE]]&lt;=20,"TEEN",IF(Table1[[#This Row],[AGE]]&lt;=40,"ADULT",IF(Table1[[#This Row],[AGE]]&lt;=60,"SENIOR CITIZEN","OLD CITIZEN"))))</f>
        <v>SENIOR CITIZEN</v>
      </c>
      <c r="L212" s="1" t="s">
        <v>66</v>
      </c>
      <c r="M212" s="1" t="s">
        <v>61</v>
      </c>
      <c r="N212" s="13">
        <f>VLOOKUP(Table1[[#This Row],[TRANSACTION ID]],'Transaction ID Record'!$C$3:$D$510,2,FALSE)</f>
        <v>162460</v>
      </c>
    </row>
    <row r="213" spans="1:14" x14ac:dyDescent="0.35">
      <c r="A213" s="6" t="str">
        <f>TEXT(Table1[[#This Row],[DATE]],"MMMM")</f>
        <v>May</v>
      </c>
      <c r="B213" s="10">
        <v>44702</v>
      </c>
      <c r="C213" s="1" t="s">
        <v>464</v>
      </c>
      <c r="D213" s="1" t="str">
        <f>UPPER(Table1[[#This Row],[NAME2]])</f>
        <v>CYRUS SMITH</v>
      </c>
      <c r="E213" s="1" t="s">
        <v>265</v>
      </c>
      <c r="F213" s="1" t="s">
        <v>266</v>
      </c>
      <c r="G213" s="1" t="s">
        <v>13</v>
      </c>
      <c r="H213" s="1" t="s">
        <v>267</v>
      </c>
      <c r="I213" s="1" t="s">
        <v>15</v>
      </c>
      <c r="J213" s="9">
        <v>72</v>
      </c>
      <c r="K213" s="1" t="str">
        <f>IF(Table1[[#This Row],[AGE]]&lt;=18,"CHILD",IF(Table1[[#This Row],[AGE]]&lt;=20,"TEEN",IF(Table1[[#This Row],[AGE]]&lt;=40,"ADULT",IF(Table1[[#This Row],[AGE]]&lt;=60,"SENIOR CITIZEN","OLD CITIZEN"))))</f>
        <v>OLD CITIZEN</v>
      </c>
      <c r="L213" s="1" t="s">
        <v>52</v>
      </c>
      <c r="M213" s="1" t="s">
        <v>25</v>
      </c>
      <c r="N213" s="13">
        <f>VLOOKUP(Table1[[#This Row],[TRANSACTION ID]],'Transaction ID Record'!$C$3:$D$510,2,FALSE)</f>
        <v>133713</v>
      </c>
    </row>
    <row r="214" spans="1:14" x14ac:dyDescent="0.35">
      <c r="A214" s="6" t="str">
        <f>TEXT(Table1[[#This Row],[DATE]],"MMMM")</f>
        <v>May</v>
      </c>
      <c r="B214" s="10">
        <v>44703</v>
      </c>
      <c r="C214" s="1" t="s">
        <v>465</v>
      </c>
      <c r="D214" s="1" t="str">
        <f>UPPER(Table1[[#This Row],[NAME2]])</f>
        <v>ADENIYI TILLMAN</v>
      </c>
      <c r="E214" s="1" t="s">
        <v>178</v>
      </c>
      <c r="F214" s="1" t="s">
        <v>179</v>
      </c>
      <c r="G214" s="1" t="s">
        <v>13</v>
      </c>
      <c r="H214" s="1" t="s">
        <v>180</v>
      </c>
      <c r="I214" s="1" t="s">
        <v>30</v>
      </c>
      <c r="J214" s="9">
        <v>63</v>
      </c>
      <c r="K214" s="1" t="str">
        <f>IF(Table1[[#This Row],[AGE]]&lt;=18,"CHILD",IF(Table1[[#This Row],[AGE]]&lt;=20,"TEEN",IF(Table1[[#This Row],[AGE]]&lt;=40,"ADULT",IF(Table1[[#This Row],[AGE]]&lt;=60,"SENIOR CITIZEN","OLD CITIZEN"))))</f>
        <v>OLD CITIZEN</v>
      </c>
      <c r="L214" s="1" t="s">
        <v>42</v>
      </c>
      <c r="M214" s="1" t="s">
        <v>61</v>
      </c>
      <c r="N214" s="13">
        <f>VLOOKUP(Table1[[#This Row],[TRANSACTION ID]],'Transaction ID Record'!$C$3:$D$510,2,FALSE)</f>
        <v>136786</v>
      </c>
    </row>
    <row r="215" spans="1:14" x14ac:dyDescent="0.35">
      <c r="A215" s="6" t="str">
        <f>TEXT(Table1[[#This Row],[DATE]],"MMMM")</f>
        <v>May</v>
      </c>
      <c r="B215" s="10">
        <v>44704</v>
      </c>
      <c r="C215" s="1" t="s">
        <v>466</v>
      </c>
      <c r="D215" s="1" t="str">
        <f>UPPER(Table1[[#This Row],[NAME2]])</f>
        <v>FLETCHER MERRITT</v>
      </c>
      <c r="E215" s="1" t="s">
        <v>361</v>
      </c>
      <c r="F215" s="1" t="s">
        <v>362</v>
      </c>
      <c r="G215" s="1" t="s">
        <v>21</v>
      </c>
      <c r="H215" s="1" t="s">
        <v>363</v>
      </c>
      <c r="I215" s="1" t="s">
        <v>15</v>
      </c>
      <c r="J215" s="9">
        <v>66</v>
      </c>
      <c r="K215" s="1" t="str">
        <f>IF(Table1[[#This Row],[AGE]]&lt;=18,"CHILD",IF(Table1[[#This Row],[AGE]]&lt;=20,"TEEN",IF(Table1[[#This Row],[AGE]]&lt;=40,"ADULT",IF(Table1[[#This Row],[AGE]]&lt;=60,"SENIOR CITIZEN","OLD CITIZEN"))))</f>
        <v>OLD CITIZEN</v>
      </c>
      <c r="L215" s="1" t="s">
        <v>37</v>
      </c>
      <c r="M215" s="1" t="s">
        <v>32</v>
      </c>
      <c r="N215" s="13">
        <f>VLOOKUP(Table1[[#This Row],[TRANSACTION ID]],'Transaction ID Record'!$C$3:$D$510,2,FALSE)</f>
        <v>93872</v>
      </c>
    </row>
    <row r="216" spans="1:14" x14ac:dyDescent="0.35">
      <c r="A216" s="6" t="str">
        <f>TEXT(Table1[[#This Row],[DATE]],"MMMM")</f>
        <v>May</v>
      </c>
      <c r="B216" s="10">
        <v>44705</v>
      </c>
      <c r="C216" s="1" t="s">
        <v>467</v>
      </c>
      <c r="D216" s="1" t="str">
        <f>UPPER(Table1[[#This Row],[NAME2]])</f>
        <v>BAKARE ANDREA</v>
      </c>
      <c r="E216" s="1" t="s">
        <v>118</v>
      </c>
      <c r="F216" s="1" t="s">
        <v>809</v>
      </c>
      <c r="G216" s="1" t="s">
        <v>21</v>
      </c>
      <c r="H216" s="1" t="s">
        <v>119</v>
      </c>
      <c r="I216" s="1" t="s">
        <v>30</v>
      </c>
      <c r="J216" s="9">
        <v>19</v>
      </c>
      <c r="K216" s="1" t="str">
        <f>IF(Table1[[#This Row],[AGE]]&lt;=18,"CHILD",IF(Table1[[#This Row],[AGE]]&lt;=20,"TEEN",IF(Table1[[#This Row],[AGE]]&lt;=40,"ADULT",IF(Table1[[#This Row],[AGE]]&lt;=60,"SENIOR CITIZEN","OLD CITIZEN"))))</f>
        <v>TEEN</v>
      </c>
      <c r="L216" s="1" t="s">
        <v>31</v>
      </c>
      <c r="M216" s="1" t="s">
        <v>61</v>
      </c>
      <c r="N216" s="13">
        <f>VLOOKUP(Table1[[#This Row],[TRANSACTION ID]],'Transaction ID Record'!$C$3:$D$510,2,FALSE)</f>
        <v>8697</v>
      </c>
    </row>
    <row r="217" spans="1:14" x14ac:dyDescent="0.35">
      <c r="A217" s="6" t="str">
        <f>TEXT(Table1[[#This Row],[DATE]],"MMMM")</f>
        <v>May</v>
      </c>
      <c r="B217" s="10">
        <v>44707</v>
      </c>
      <c r="C217" s="1" t="s">
        <v>468</v>
      </c>
      <c r="D217" s="1" t="str">
        <f>UPPER(Table1[[#This Row],[NAME2]])</f>
        <v>MERCEDES SELHORST</v>
      </c>
      <c r="E217" s="1" t="s">
        <v>154</v>
      </c>
      <c r="F217" s="1" t="s">
        <v>155</v>
      </c>
      <c r="G217" s="1" t="s">
        <v>21</v>
      </c>
      <c r="H217" s="1" t="s">
        <v>156</v>
      </c>
      <c r="I217" s="1" t="s">
        <v>23</v>
      </c>
      <c r="J217" s="9">
        <v>68</v>
      </c>
      <c r="K217" s="1" t="str">
        <f>IF(Table1[[#This Row],[AGE]]&lt;=18,"CHILD",IF(Table1[[#This Row],[AGE]]&lt;=20,"TEEN",IF(Table1[[#This Row],[AGE]]&lt;=40,"ADULT",IF(Table1[[#This Row],[AGE]]&lt;=60,"SENIOR CITIZEN","OLD CITIZEN"))))</f>
        <v>OLD CITIZEN</v>
      </c>
      <c r="L217" s="1" t="s">
        <v>42</v>
      </c>
      <c r="M217" s="1" t="s">
        <v>47</v>
      </c>
      <c r="N217" s="13">
        <f>VLOOKUP(Table1[[#This Row],[TRANSACTION ID]],'Transaction ID Record'!$C$3:$D$510,2,FALSE)</f>
        <v>168443</v>
      </c>
    </row>
    <row r="218" spans="1:14" x14ac:dyDescent="0.35">
      <c r="A218" s="6" t="str">
        <f>TEXT(Table1[[#This Row],[DATE]],"MMMM")</f>
        <v>May</v>
      </c>
      <c r="B218" s="10">
        <v>44707</v>
      </c>
      <c r="C218" s="1" t="s">
        <v>469</v>
      </c>
      <c r="D218" s="1" t="str">
        <f>UPPER(Table1[[#This Row],[NAME2]])</f>
        <v>OLUWAFUNMI JAMES</v>
      </c>
      <c r="E218" s="1" t="s">
        <v>462</v>
      </c>
      <c r="F218" s="1" t="s">
        <v>831</v>
      </c>
      <c r="G218" s="1" t="s">
        <v>13</v>
      </c>
      <c r="H218" s="1" t="s">
        <v>463</v>
      </c>
      <c r="I218" s="1" t="s">
        <v>23</v>
      </c>
      <c r="J218" s="9">
        <v>48</v>
      </c>
      <c r="K218" s="1" t="str">
        <f>IF(Table1[[#This Row],[AGE]]&lt;=18,"CHILD",IF(Table1[[#This Row],[AGE]]&lt;=20,"TEEN",IF(Table1[[#This Row],[AGE]]&lt;=40,"ADULT",IF(Table1[[#This Row],[AGE]]&lt;=60,"SENIOR CITIZEN","OLD CITIZEN"))))</f>
        <v>SENIOR CITIZEN</v>
      </c>
      <c r="L218" s="1" t="s">
        <v>42</v>
      </c>
      <c r="M218" s="1" t="s">
        <v>47</v>
      </c>
      <c r="N218" s="13">
        <f>VLOOKUP(Table1[[#This Row],[TRANSACTION ID]],'Transaction ID Record'!$C$3:$D$510,2,FALSE)</f>
        <v>139431</v>
      </c>
    </row>
    <row r="219" spans="1:14" x14ac:dyDescent="0.35">
      <c r="A219" s="6" t="str">
        <f>TEXT(Table1[[#This Row],[DATE]],"MMMM")</f>
        <v>May</v>
      </c>
      <c r="B219" s="10">
        <v>44708</v>
      </c>
      <c r="C219" s="1" t="s">
        <v>470</v>
      </c>
      <c r="D219" s="1" t="str">
        <f>UPPER(Table1[[#This Row],[NAME2]])</f>
        <v>SAHEED THOMAS</v>
      </c>
      <c r="E219" s="1" t="s">
        <v>443</v>
      </c>
      <c r="F219" s="1" t="s">
        <v>830</v>
      </c>
      <c r="G219" s="1" t="s">
        <v>13</v>
      </c>
      <c r="H219" s="1" t="s">
        <v>444</v>
      </c>
      <c r="I219" s="1" t="s">
        <v>15</v>
      </c>
      <c r="J219" s="9">
        <v>28</v>
      </c>
      <c r="K219" s="1" t="str">
        <f>IF(Table1[[#This Row],[AGE]]&lt;=18,"CHILD",IF(Table1[[#This Row],[AGE]]&lt;=20,"TEEN",IF(Table1[[#This Row],[AGE]]&lt;=40,"ADULT",IF(Table1[[#This Row],[AGE]]&lt;=60,"SENIOR CITIZEN","OLD CITIZEN"))))</f>
        <v>ADULT</v>
      </c>
      <c r="L219" s="1" t="s">
        <v>151</v>
      </c>
      <c r="M219" s="1" t="s">
        <v>61</v>
      </c>
      <c r="N219" s="13">
        <f>VLOOKUP(Table1[[#This Row],[TRANSACTION ID]],'Transaction ID Record'!$C$3:$D$510,2,FALSE)</f>
        <v>110229</v>
      </c>
    </row>
    <row r="220" spans="1:14" x14ac:dyDescent="0.35">
      <c r="A220" s="6" t="str">
        <f>TEXT(Table1[[#This Row],[DATE]],"MMMM")</f>
        <v>May</v>
      </c>
      <c r="B220" s="10">
        <v>44708</v>
      </c>
      <c r="C220" s="1" t="s">
        <v>471</v>
      </c>
      <c r="D220" s="1" t="str">
        <f>UPPER(Table1[[#This Row],[NAME2]])</f>
        <v>ROBERT JONES</v>
      </c>
      <c r="E220" s="1" t="s">
        <v>472</v>
      </c>
      <c r="F220" s="1" t="s">
        <v>473</v>
      </c>
      <c r="G220" s="1" t="s">
        <v>21</v>
      </c>
      <c r="H220" s="1" t="s">
        <v>474</v>
      </c>
      <c r="I220" s="1" t="s">
        <v>15</v>
      </c>
      <c r="J220" s="9">
        <v>51</v>
      </c>
      <c r="K220" s="1" t="str">
        <f>IF(Table1[[#This Row],[AGE]]&lt;=18,"CHILD",IF(Table1[[#This Row],[AGE]]&lt;=20,"TEEN",IF(Table1[[#This Row],[AGE]]&lt;=40,"ADULT",IF(Table1[[#This Row],[AGE]]&lt;=60,"SENIOR CITIZEN","OLD CITIZEN"))))</f>
        <v>SENIOR CITIZEN</v>
      </c>
      <c r="L220" s="1" t="s">
        <v>151</v>
      </c>
      <c r="M220" s="1" t="s">
        <v>32</v>
      </c>
      <c r="N220" s="13">
        <f>VLOOKUP(Table1[[#This Row],[TRANSACTION ID]],'Transaction ID Record'!$C$3:$D$510,2,FALSE)</f>
        <v>57946</v>
      </c>
    </row>
    <row r="221" spans="1:14" x14ac:dyDescent="0.35">
      <c r="A221" s="6" t="str">
        <f>TEXT(Table1[[#This Row],[DATE]],"MMMM")</f>
        <v>May</v>
      </c>
      <c r="B221" s="10">
        <v>44708</v>
      </c>
      <c r="C221" s="1" t="s">
        <v>475</v>
      </c>
      <c r="D221" s="1" t="str">
        <f>UPPER(Table1[[#This Row],[NAME2]])</f>
        <v>AYO WISE</v>
      </c>
      <c r="E221" s="1" t="s">
        <v>476</v>
      </c>
      <c r="F221" s="1" t="s">
        <v>832</v>
      </c>
      <c r="G221" s="1" t="s">
        <v>13</v>
      </c>
      <c r="H221" s="1" t="s">
        <v>477</v>
      </c>
      <c r="I221" s="1" t="s">
        <v>15</v>
      </c>
      <c r="J221" s="9">
        <v>64</v>
      </c>
      <c r="K221" s="1" t="str">
        <f>IF(Table1[[#This Row],[AGE]]&lt;=18,"CHILD",IF(Table1[[#This Row],[AGE]]&lt;=20,"TEEN",IF(Table1[[#This Row],[AGE]]&lt;=40,"ADULT",IF(Table1[[#This Row],[AGE]]&lt;=60,"SENIOR CITIZEN","OLD CITIZEN"))))</f>
        <v>OLD CITIZEN</v>
      </c>
      <c r="L221" s="1" t="s">
        <v>57</v>
      </c>
      <c r="M221" s="1" t="s">
        <v>32</v>
      </c>
      <c r="N221" s="13">
        <f>VLOOKUP(Table1[[#This Row],[TRANSACTION ID]],'Transaction ID Record'!$C$3:$D$510,2,FALSE)</f>
        <v>110252</v>
      </c>
    </row>
    <row r="222" spans="1:14" x14ac:dyDescent="0.35">
      <c r="A222" s="6" t="str">
        <f>TEXT(Table1[[#This Row],[DATE]],"MMMM")</f>
        <v>May</v>
      </c>
      <c r="B222" s="10">
        <v>44709</v>
      </c>
      <c r="C222" s="1" t="s">
        <v>478</v>
      </c>
      <c r="D222" s="1" t="str">
        <f>UPPER(Table1[[#This Row],[NAME2]])</f>
        <v>OLUDOYE WEBER</v>
      </c>
      <c r="E222" s="1" t="s">
        <v>27</v>
      </c>
      <c r="F222" s="1" t="s">
        <v>28</v>
      </c>
      <c r="G222" s="1" t="s">
        <v>21</v>
      </c>
      <c r="H222" s="1" t="s">
        <v>29</v>
      </c>
      <c r="I222" s="1" t="s">
        <v>30</v>
      </c>
      <c r="J222" s="9">
        <v>59</v>
      </c>
      <c r="K222" s="1" t="str">
        <f>IF(Table1[[#This Row],[AGE]]&lt;=18,"CHILD",IF(Table1[[#This Row],[AGE]]&lt;=20,"TEEN",IF(Table1[[#This Row],[AGE]]&lt;=40,"ADULT",IF(Table1[[#This Row],[AGE]]&lt;=60,"SENIOR CITIZEN","OLD CITIZEN"))))</f>
        <v>SENIOR CITIZEN</v>
      </c>
      <c r="L222" s="1" t="s">
        <v>31</v>
      </c>
      <c r="M222" s="1" t="s">
        <v>25</v>
      </c>
      <c r="N222" s="13">
        <f>VLOOKUP(Table1[[#This Row],[TRANSACTION ID]],'Transaction ID Record'!$C$3:$D$510,2,FALSE)</f>
        <v>13225</v>
      </c>
    </row>
    <row r="223" spans="1:14" x14ac:dyDescent="0.35">
      <c r="A223" s="6" t="str">
        <f>TEXT(Table1[[#This Row],[DATE]],"MMMM")</f>
        <v>May</v>
      </c>
      <c r="B223" s="10">
        <v>44709</v>
      </c>
      <c r="C223" s="1" t="s">
        <v>479</v>
      </c>
      <c r="D223" s="1" t="str">
        <f>UPPER(Table1[[#This Row],[NAME2]])</f>
        <v>TAOHEED PERKINS</v>
      </c>
      <c r="E223" s="1" t="s">
        <v>107</v>
      </c>
      <c r="F223" s="1" t="s">
        <v>807</v>
      </c>
      <c r="G223" s="1" t="s">
        <v>21</v>
      </c>
      <c r="H223" s="1" t="s">
        <v>108</v>
      </c>
      <c r="I223" s="1" t="s">
        <v>15</v>
      </c>
      <c r="J223" s="9">
        <v>73</v>
      </c>
      <c r="K223" s="1" t="str">
        <f>IF(Table1[[#This Row],[AGE]]&lt;=18,"CHILD",IF(Table1[[#This Row],[AGE]]&lt;=20,"TEEN",IF(Table1[[#This Row],[AGE]]&lt;=40,"ADULT",IF(Table1[[#This Row],[AGE]]&lt;=60,"SENIOR CITIZEN","OLD CITIZEN"))))</f>
        <v>OLD CITIZEN</v>
      </c>
      <c r="L223" s="1" t="s">
        <v>66</v>
      </c>
      <c r="M223" s="1" t="s">
        <v>61</v>
      </c>
      <c r="N223" s="13">
        <f>VLOOKUP(Table1[[#This Row],[TRANSACTION ID]],'Transaction ID Record'!$C$3:$D$510,2,FALSE)</f>
        <v>17745</v>
      </c>
    </row>
    <row r="224" spans="1:14" x14ac:dyDescent="0.35">
      <c r="A224" s="6" t="str">
        <f>TEXT(Table1[[#This Row],[DATE]],"MMMM")</f>
        <v>May</v>
      </c>
      <c r="B224" s="10">
        <v>44710</v>
      </c>
      <c r="C224" s="1" t="s">
        <v>480</v>
      </c>
      <c r="D224" s="1" t="str">
        <f>UPPER(Table1[[#This Row],[NAME2]])</f>
        <v>LANI KEY</v>
      </c>
      <c r="E224" s="1" t="s">
        <v>92</v>
      </c>
      <c r="F224" s="1" t="s">
        <v>804</v>
      </c>
      <c r="G224" s="1" t="s">
        <v>21</v>
      </c>
      <c r="H224" s="1" t="s">
        <v>93</v>
      </c>
      <c r="I224" s="1" t="s">
        <v>23</v>
      </c>
      <c r="J224" s="9">
        <v>31</v>
      </c>
      <c r="K224" s="1" t="str">
        <f>IF(Table1[[#This Row],[AGE]]&lt;=18,"CHILD",IF(Table1[[#This Row],[AGE]]&lt;=20,"TEEN",IF(Table1[[#This Row],[AGE]]&lt;=40,"ADULT",IF(Table1[[#This Row],[AGE]]&lt;=60,"SENIOR CITIZEN","OLD CITIZEN"))))</f>
        <v>ADULT</v>
      </c>
      <c r="L224" s="1" t="s">
        <v>24</v>
      </c>
      <c r="M224" s="1" t="s">
        <v>47</v>
      </c>
      <c r="N224" s="13">
        <f>VLOOKUP(Table1[[#This Row],[TRANSACTION ID]],'Transaction ID Record'!$C$3:$D$510,2,FALSE)</f>
        <v>174296</v>
      </c>
    </row>
    <row r="225" spans="1:14" x14ac:dyDescent="0.35">
      <c r="A225" s="6" t="str">
        <f>TEXT(Table1[[#This Row],[DATE]],"MMMM")</f>
        <v>May</v>
      </c>
      <c r="B225" s="10">
        <v>44711</v>
      </c>
      <c r="C225" s="1" t="s">
        <v>481</v>
      </c>
      <c r="D225" s="1" t="str">
        <f>UPPER(Table1[[#This Row],[NAME2]])</f>
        <v>EBUKA MERCER</v>
      </c>
      <c r="E225" s="1" t="s">
        <v>482</v>
      </c>
      <c r="F225" s="1" t="s">
        <v>483</v>
      </c>
      <c r="G225" s="1" t="s">
        <v>21</v>
      </c>
      <c r="H225" s="1" t="s">
        <v>484</v>
      </c>
      <c r="I225" s="1" t="s">
        <v>15</v>
      </c>
      <c r="J225" s="9">
        <v>24</v>
      </c>
      <c r="K225" s="1" t="str">
        <f>IF(Table1[[#This Row],[AGE]]&lt;=18,"CHILD",IF(Table1[[#This Row],[AGE]]&lt;=20,"TEEN",IF(Table1[[#This Row],[AGE]]&lt;=40,"ADULT",IF(Table1[[#This Row],[AGE]]&lt;=60,"SENIOR CITIZEN","OLD CITIZEN"))))</f>
        <v>ADULT</v>
      </c>
      <c r="L225" s="1" t="s">
        <v>24</v>
      </c>
      <c r="M225" s="1" t="s">
        <v>32</v>
      </c>
      <c r="N225" s="13">
        <f>VLOOKUP(Table1[[#This Row],[TRANSACTION ID]],'Transaction ID Record'!$C$3:$D$510,2,FALSE)</f>
        <v>129002</v>
      </c>
    </row>
    <row r="226" spans="1:14" x14ac:dyDescent="0.35">
      <c r="A226" s="6" t="str">
        <f>TEXT(Table1[[#This Row],[DATE]],"MMMM")</f>
        <v>May</v>
      </c>
      <c r="B226" s="10">
        <v>44711</v>
      </c>
      <c r="C226" s="1" t="s">
        <v>485</v>
      </c>
      <c r="D226" s="1" t="str">
        <f>UPPER(Table1[[#This Row],[NAME2]])</f>
        <v>ROBERT JONES</v>
      </c>
      <c r="E226" s="1" t="s">
        <v>472</v>
      </c>
      <c r="F226" s="1" t="s">
        <v>473</v>
      </c>
      <c r="G226" s="1" t="s">
        <v>21</v>
      </c>
      <c r="H226" s="1" t="s">
        <v>474</v>
      </c>
      <c r="I226" s="1" t="s">
        <v>15</v>
      </c>
      <c r="J226" s="9">
        <v>51</v>
      </c>
      <c r="K226" s="1" t="str">
        <f>IF(Table1[[#This Row],[AGE]]&lt;=18,"CHILD",IF(Table1[[#This Row],[AGE]]&lt;=20,"TEEN",IF(Table1[[#This Row],[AGE]]&lt;=40,"ADULT",IF(Table1[[#This Row],[AGE]]&lt;=60,"SENIOR CITIZEN","OLD CITIZEN"))))</f>
        <v>SENIOR CITIZEN</v>
      </c>
      <c r="L226" s="1" t="s">
        <v>42</v>
      </c>
      <c r="M226" s="1" t="s">
        <v>61</v>
      </c>
      <c r="N226" s="13">
        <f>VLOOKUP(Table1[[#This Row],[TRANSACTION ID]],'Transaction ID Record'!$C$3:$D$510,2,FALSE)</f>
        <v>17177</v>
      </c>
    </row>
    <row r="227" spans="1:14" x14ac:dyDescent="0.35">
      <c r="A227" s="6" t="str">
        <f>TEXT(Table1[[#This Row],[DATE]],"MMMM")</f>
        <v>May</v>
      </c>
      <c r="B227" s="10">
        <v>44711</v>
      </c>
      <c r="C227" s="1" t="s">
        <v>486</v>
      </c>
      <c r="D227" s="1" t="str">
        <f>UPPER(Table1[[#This Row],[NAME2]])</f>
        <v>ODUMOSU MCCLURE</v>
      </c>
      <c r="E227" s="1" t="s">
        <v>63</v>
      </c>
      <c r="F227" s="1" t="s">
        <v>64</v>
      </c>
      <c r="G227" s="1" t="s">
        <v>13</v>
      </c>
      <c r="H227" s="1" t="s">
        <v>65</v>
      </c>
      <c r="I227" s="1" t="s">
        <v>15</v>
      </c>
      <c r="J227" s="9">
        <v>60</v>
      </c>
      <c r="K227" s="1" t="str">
        <f>IF(Table1[[#This Row],[AGE]]&lt;=18,"CHILD",IF(Table1[[#This Row],[AGE]]&lt;=20,"TEEN",IF(Table1[[#This Row],[AGE]]&lt;=40,"ADULT",IF(Table1[[#This Row],[AGE]]&lt;=60,"SENIOR CITIZEN","OLD CITIZEN"))))</f>
        <v>SENIOR CITIZEN</v>
      </c>
      <c r="L227" s="1" t="s">
        <v>42</v>
      </c>
      <c r="M227" s="1" t="s">
        <v>61</v>
      </c>
      <c r="N227" s="13">
        <f>VLOOKUP(Table1[[#This Row],[TRANSACTION ID]],'Transaction ID Record'!$C$3:$D$510,2,FALSE)</f>
        <v>132161</v>
      </c>
    </row>
    <row r="228" spans="1:14" x14ac:dyDescent="0.35">
      <c r="A228" s="6" t="str">
        <f>TEXT(Table1[[#This Row],[DATE]],"MMMM")</f>
        <v>May</v>
      </c>
      <c r="B228" s="10">
        <v>44712</v>
      </c>
      <c r="C228" s="1" t="s">
        <v>487</v>
      </c>
      <c r="D228" s="1" t="str">
        <f>UPPER(Table1[[#This Row],[NAME2]])</f>
        <v>DESIRAE SPENCER</v>
      </c>
      <c r="E228" s="1" t="s">
        <v>488</v>
      </c>
      <c r="F228" s="1" t="s">
        <v>833</v>
      </c>
      <c r="G228" s="1" t="s">
        <v>13</v>
      </c>
      <c r="H228" s="1" t="s">
        <v>489</v>
      </c>
      <c r="I228" s="1" t="s">
        <v>15</v>
      </c>
      <c r="J228" s="9">
        <v>59</v>
      </c>
      <c r="K228" s="1" t="str">
        <f>IF(Table1[[#This Row],[AGE]]&lt;=18,"CHILD",IF(Table1[[#This Row],[AGE]]&lt;=20,"TEEN",IF(Table1[[#This Row],[AGE]]&lt;=40,"ADULT",IF(Table1[[#This Row],[AGE]]&lt;=60,"SENIOR CITIZEN","OLD CITIZEN"))))</f>
        <v>SENIOR CITIZEN</v>
      </c>
      <c r="L228" s="1" t="s">
        <v>66</v>
      </c>
      <c r="M228" s="1" t="s">
        <v>61</v>
      </c>
      <c r="N228" s="13">
        <f>VLOOKUP(Table1[[#This Row],[TRANSACTION ID]],'Transaction ID Record'!$C$3:$D$510,2,FALSE)</f>
        <v>181190</v>
      </c>
    </row>
    <row r="229" spans="1:14" x14ac:dyDescent="0.35">
      <c r="A229" s="6" t="str">
        <f>TEXT(Table1[[#This Row],[DATE]],"MMMM")</f>
        <v>May</v>
      </c>
      <c r="B229" s="10">
        <v>44712</v>
      </c>
      <c r="C229" s="1" t="s">
        <v>490</v>
      </c>
      <c r="D229" s="1" t="str">
        <f>UPPER(Table1[[#This Row],[NAME2]])</f>
        <v>IVORY SELHORST</v>
      </c>
      <c r="E229" s="1" t="s">
        <v>71</v>
      </c>
      <c r="F229" s="1" t="s">
        <v>802</v>
      </c>
      <c r="G229" s="1" t="s">
        <v>21</v>
      </c>
      <c r="H229" s="1" t="s">
        <v>72</v>
      </c>
      <c r="I229" s="1" t="s">
        <v>23</v>
      </c>
      <c r="J229" s="9">
        <v>54</v>
      </c>
      <c r="K229" s="1" t="str">
        <f>IF(Table1[[#This Row],[AGE]]&lt;=18,"CHILD",IF(Table1[[#This Row],[AGE]]&lt;=20,"TEEN",IF(Table1[[#This Row],[AGE]]&lt;=40,"ADULT",IF(Table1[[#This Row],[AGE]]&lt;=60,"SENIOR CITIZEN","OLD CITIZEN"))))</f>
        <v>SENIOR CITIZEN</v>
      </c>
      <c r="L229" s="1" t="s">
        <v>66</v>
      </c>
      <c r="M229" s="1" t="s">
        <v>25</v>
      </c>
      <c r="N229" s="13">
        <f>VLOOKUP(Table1[[#This Row],[TRANSACTION ID]],'Transaction ID Record'!$C$3:$D$510,2,FALSE)</f>
        <v>115254</v>
      </c>
    </row>
    <row r="230" spans="1:14" x14ac:dyDescent="0.35">
      <c r="A230" s="6" t="str">
        <f>TEXT(Table1[[#This Row],[DATE]],"MMMM")</f>
        <v>May</v>
      </c>
      <c r="B230" s="10">
        <v>44712</v>
      </c>
      <c r="C230" s="1" t="s">
        <v>491</v>
      </c>
      <c r="D230" s="1" t="str">
        <f>UPPER(Table1[[#This Row],[NAME2]])</f>
        <v>ADENIYI TILLMAN</v>
      </c>
      <c r="E230" s="1" t="s">
        <v>178</v>
      </c>
      <c r="F230" s="1" t="s">
        <v>179</v>
      </c>
      <c r="G230" s="1" t="s">
        <v>13</v>
      </c>
      <c r="H230" s="1" t="s">
        <v>180</v>
      </c>
      <c r="I230" s="1" t="s">
        <v>30</v>
      </c>
      <c r="J230" s="9">
        <v>63</v>
      </c>
      <c r="K230" s="1" t="str">
        <f>IF(Table1[[#This Row],[AGE]]&lt;=18,"CHILD",IF(Table1[[#This Row],[AGE]]&lt;=20,"TEEN",IF(Table1[[#This Row],[AGE]]&lt;=40,"ADULT",IF(Table1[[#This Row],[AGE]]&lt;=60,"SENIOR CITIZEN","OLD CITIZEN"))))</f>
        <v>OLD CITIZEN</v>
      </c>
      <c r="L230" s="1" t="s">
        <v>151</v>
      </c>
      <c r="M230" s="1" t="s">
        <v>47</v>
      </c>
      <c r="N230" s="13">
        <f>VLOOKUP(Table1[[#This Row],[TRANSACTION ID]],'Transaction ID Record'!$C$3:$D$510,2,FALSE)</f>
        <v>26381</v>
      </c>
    </row>
    <row r="231" spans="1:14" x14ac:dyDescent="0.35">
      <c r="A231" s="6" t="str">
        <f>TEXT(Table1[[#This Row],[DATE]],"MMMM")</f>
        <v>June</v>
      </c>
      <c r="B231" s="10">
        <v>44713</v>
      </c>
      <c r="C231" s="1" t="s">
        <v>492</v>
      </c>
      <c r="D231" s="1" t="str">
        <f>UPPER(Table1[[#This Row],[NAME2]])</f>
        <v>ADENIYI MCCONNELL</v>
      </c>
      <c r="E231" s="1" t="s">
        <v>398</v>
      </c>
      <c r="F231" s="1" t="s">
        <v>827</v>
      </c>
      <c r="G231" s="1" t="s">
        <v>21</v>
      </c>
      <c r="H231" s="1" t="s">
        <v>399</v>
      </c>
      <c r="I231" s="1" t="s">
        <v>15</v>
      </c>
      <c r="J231" s="9">
        <v>32</v>
      </c>
      <c r="K231" s="1" t="str">
        <f>IF(Table1[[#This Row],[AGE]]&lt;=18,"CHILD",IF(Table1[[#This Row],[AGE]]&lt;=20,"TEEN",IF(Table1[[#This Row],[AGE]]&lt;=40,"ADULT",IF(Table1[[#This Row],[AGE]]&lt;=60,"SENIOR CITIZEN","OLD CITIZEN"))))</f>
        <v>ADULT</v>
      </c>
      <c r="L231" s="1" t="s">
        <v>24</v>
      </c>
      <c r="M231" s="1" t="s">
        <v>32</v>
      </c>
      <c r="N231" s="13">
        <f>VLOOKUP(Table1[[#This Row],[TRANSACTION ID]],'Transaction ID Record'!$C$3:$D$510,2,FALSE)</f>
        <v>87849</v>
      </c>
    </row>
    <row r="232" spans="1:14" x14ac:dyDescent="0.35">
      <c r="A232" s="6" t="str">
        <f>TEXT(Table1[[#This Row],[DATE]],"MMMM")</f>
        <v>June</v>
      </c>
      <c r="B232" s="10">
        <v>44713</v>
      </c>
      <c r="C232" s="1" t="s">
        <v>493</v>
      </c>
      <c r="D232" s="1" t="str">
        <f>UPPER(Table1[[#This Row],[NAME2]])</f>
        <v>CYRUS SMITH</v>
      </c>
      <c r="E232" s="1" t="s">
        <v>265</v>
      </c>
      <c r="F232" s="1" t="s">
        <v>266</v>
      </c>
      <c r="G232" s="1" t="s">
        <v>13</v>
      </c>
      <c r="H232" s="1" t="s">
        <v>267</v>
      </c>
      <c r="I232" s="1" t="s">
        <v>15</v>
      </c>
      <c r="J232" s="9">
        <v>72</v>
      </c>
      <c r="K232" s="1" t="str">
        <f>IF(Table1[[#This Row],[AGE]]&lt;=18,"CHILD",IF(Table1[[#This Row],[AGE]]&lt;=20,"TEEN",IF(Table1[[#This Row],[AGE]]&lt;=40,"ADULT",IF(Table1[[#This Row],[AGE]]&lt;=60,"SENIOR CITIZEN","OLD CITIZEN"))))</f>
        <v>OLD CITIZEN</v>
      </c>
      <c r="L232" s="1" t="s">
        <v>151</v>
      </c>
      <c r="M232" s="1" t="s">
        <v>25</v>
      </c>
      <c r="N232" s="13">
        <f>VLOOKUP(Table1[[#This Row],[TRANSACTION ID]],'Transaction ID Record'!$C$3:$D$510,2,FALSE)</f>
        <v>133815</v>
      </c>
    </row>
    <row r="233" spans="1:14" x14ac:dyDescent="0.35">
      <c r="A233" s="6" t="str">
        <f>TEXT(Table1[[#This Row],[DATE]],"MMMM")</f>
        <v>June</v>
      </c>
      <c r="B233" s="10">
        <v>44713</v>
      </c>
      <c r="C233" s="1" t="s">
        <v>494</v>
      </c>
      <c r="D233" s="1" t="str">
        <f>UPPER(Table1[[#This Row],[NAME2]])</f>
        <v>CELESTE MILLER</v>
      </c>
      <c r="E233" s="1" t="s">
        <v>129</v>
      </c>
      <c r="F233" s="1" t="s">
        <v>130</v>
      </c>
      <c r="G233" s="1" t="s">
        <v>21</v>
      </c>
      <c r="H233" s="1" t="s">
        <v>131</v>
      </c>
      <c r="I233" s="1" t="s">
        <v>23</v>
      </c>
      <c r="J233" s="9">
        <v>66</v>
      </c>
      <c r="K233" s="1" t="str">
        <f>IF(Table1[[#This Row],[AGE]]&lt;=18,"CHILD",IF(Table1[[#This Row],[AGE]]&lt;=20,"TEEN",IF(Table1[[#This Row],[AGE]]&lt;=40,"ADULT",IF(Table1[[#This Row],[AGE]]&lt;=60,"SENIOR CITIZEN","OLD CITIZEN"))))</f>
        <v>OLD CITIZEN</v>
      </c>
      <c r="L233" s="1" t="s">
        <v>16</v>
      </c>
      <c r="M233" s="1" t="s">
        <v>25</v>
      </c>
      <c r="N233" s="13">
        <f>VLOOKUP(Table1[[#This Row],[TRANSACTION ID]],'Transaction ID Record'!$C$3:$D$510,2,FALSE)</f>
        <v>33144</v>
      </c>
    </row>
    <row r="234" spans="1:14" x14ac:dyDescent="0.35">
      <c r="A234" s="6" t="str">
        <f>TEXT(Table1[[#This Row],[DATE]],"MMMM")</f>
        <v>June</v>
      </c>
      <c r="B234" s="10">
        <v>44714</v>
      </c>
      <c r="C234" s="1" t="s">
        <v>495</v>
      </c>
      <c r="D234" s="1" t="str">
        <f>UPPER(Table1[[#This Row],[NAME2]])</f>
        <v>BRITTANY BEST</v>
      </c>
      <c r="E234" s="1" t="s">
        <v>54</v>
      </c>
      <c r="F234" s="1" t="s">
        <v>55</v>
      </c>
      <c r="G234" s="1" t="s">
        <v>21</v>
      </c>
      <c r="H234" s="1" t="s">
        <v>56</v>
      </c>
      <c r="I234" s="1" t="s">
        <v>23</v>
      </c>
      <c r="J234" s="9">
        <v>28</v>
      </c>
      <c r="K234" s="1" t="str">
        <f>IF(Table1[[#This Row],[AGE]]&lt;=18,"CHILD",IF(Table1[[#This Row],[AGE]]&lt;=20,"TEEN",IF(Table1[[#This Row],[AGE]]&lt;=40,"ADULT",IF(Table1[[#This Row],[AGE]]&lt;=60,"SENIOR CITIZEN","OLD CITIZEN"))))</f>
        <v>ADULT</v>
      </c>
      <c r="L234" s="1" t="s">
        <v>52</v>
      </c>
      <c r="M234" s="1" t="s">
        <v>47</v>
      </c>
      <c r="N234" s="13">
        <f>VLOOKUP(Table1[[#This Row],[TRANSACTION ID]],'Transaction ID Record'!$C$3:$D$510,2,FALSE)</f>
        <v>142406</v>
      </c>
    </row>
    <row r="235" spans="1:14" x14ac:dyDescent="0.35">
      <c r="A235" s="6" t="str">
        <f>TEXT(Table1[[#This Row],[DATE]],"MMMM")</f>
        <v>June</v>
      </c>
      <c r="B235" s="10">
        <v>44714</v>
      </c>
      <c r="C235" s="1" t="s">
        <v>496</v>
      </c>
      <c r="D235" s="1" t="str">
        <f>UPPER(Table1[[#This Row],[NAME2]])</f>
        <v>OLAYINKA HUMPHREY</v>
      </c>
      <c r="E235" s="1" t="s">
        <v>188</v>
      </c>
      <c r="F235" s="1" t="s">
        <v>189</v>
      </c>
      <c r="G235" s="1" t="s">
        <v>13</v>
      </c>
      <c r="H235" s="1" t="s">
        <v>190</v>
      </c>
      <c r="I235" s="1" t="s">
        <v>15</v>
      </c>
      <c r="J235" s="9">
        <v>60</v>
      </c>
      <c r="K235" s="1" t="str">
        <f>IF(Table1[[#This Row],[AGE]]&lt;=18,"CHILD",IF(Table1[[#This Row],[AGE]]&lt;=20,"TEEN",IF(Table1[[#This Row],[AGE]]&lt;=40,"ADULT",IF(Table1[[#This Row],[AGE]]&lt;=60,"SENIOR CITIZEN","OLD CITIZEN"))))</f>
        <v>SENIOR CITIZEN</v>
      </c>
      <c r="L235" s="1" t="s">
        <v>16</v>
      </c>
      <c r="M235" s="1" t="s">
        <v>47</v>
      </c>
      <c r="N235" s="13">
        <f>VLOOKUP(Table1[[#This Row],[TRANSACTION ID]],'Transaction ID Record'!$C$3:$D$510,2,FALSE)</f>
        <v>177389</v>
      </c>
    </row>
    <row r="236" spans="1:14" x14ac:dyDescent="0.35">
      <c r="A236" s="6" t="str">
        <f>TEXT(Table1[[#This Row],[DATE]],"MMMM")</f>
        <v>June</v>
      </c>
      <c r="B236" s="10">
        <v>44714</v>
      </c>
      <c r="C236" s="1" t="s">
        <v>497</v>
      </c>
      <c r="D236" s="1" t="str">
        <f>UPPER(Table1[[#This Row],[NAME2]])</f>
        <v>EHINDERO ADAMS</v>
      </c>
      <c r="E236" s="1" t="s">
        <v>446</v>
      </c>
      <c r="F236" s="1" t="s">
        <v>447</v>
      </c>
      <c r="G236" s="1" t="s">
        <v>21</v>
      </c>
      <c r="H236" s="1" t="s">
        <v>448</v>
      </c>
      <c r="I236" s="1" t="s">
        <v>23</v>
      </c>
      <c r="J236" s="9">
        <v>75</v>
      </c>
      <c r="K236" s="1" t="str">
        <f>IF(Table1[[#This Row],[AGE]]&lt;=18,"CHILD",IF(Table1[[#This Row],[AGE]]&lt;=20,"TEEN",IF(Table1[[#This Row],[AGE]]&lt;=40,"ADULT",IF(Table1[[#This Row],[AGE]]&lt;=60,"SENIOR CITIZEN","OLD CITIZEN"))))</f>
        <v>OLD CITIZEN</v>
      </c>
      <c r="L236" s="1" t="s">
        <v>66</v>
      </c>
      <c r="M236" s="1" t="s">
        <v>17</v>
      </c>
      <c r="N236" s="13">
        <f>VLOOKUP(Table1[[#This Row],[TRANSACTION ID]],'Transaction ID Record'!$C$3:$D$510,2,FALSE)</f>
        <v>90409</v>
      </c>
    </row>
    <row r="237" spans="1:14" x14ac:dyDescent="0.35">
      <c r="A237" s="6" t="str">
        <f>TEXT(Table1[[#This Row],[DATE]],"MMMM")</f>
        <v>June</v>
      </c>
      <c r="B237" s="10">
        <v>44715</v>
      </c>
      <c r="C237" s="1" t="s">
        <v>498</v>
      </c>
      <c r="D237" s="1" t="str">
        <f>UPPER(Table1[[#This Row],[NAME2]])</f>
        <v>EMERSON PANOVSKY</v>
      </c>
      <c r="E237" s="1" t="s">
        <v>75</v>
      </c>
      <c r="F237" s="1" t="s">
        <v>76</v>
      </c>
      <c r="G237" s="1" t="s">
        <v>21</v>
      </c>
      <c r="H237" s="1" t="s">
        <v>77</v>
      </c>
      <c r="I237" s="1" t="s">
        <v>30</v>
      </c>
      <c r="J237" s="9">
        <v>19</v>
      </c>
      <c r="K237" s="1" t="str">
        <f>IF(Table1[[#This Row],[AGE]]&lt;=18,"CHILD",IF(Table1[[#This Row],[AGE]]&lt;=20,"TEEN",IF(Table1[[#This Row],[AGE]]&lt;=40,"ADULT",IF(Table1[[#This Row],[AGE]]&lt;=60,"SENIOR CITIZEN","OLD CITIZEN"))))</f>
        <v>TEEN</v>
      </c>
      <c r="L237" s="1" t="s">
        <v>52</v>
      </c>
      <c r="M237" s="1" t="s">
        <v>25</v>
      </c>
      <c r="N237" s="13">
        <f>VLOOKUP(Table1[[#This Row],[TRANSACTION ID]],'Transaction ID Record'!$C$3:$D$510,2,FALSE)</f>
        <v>95721</v>
      </c>
    </row>
    <row r="238" spans="1:14" x14ac:dyDescent="0.35">
      <c r="A238" s="6" t="str">
        <f>TEXT(Table1[[#This Row],[DATE]],"MMMM")</f>
        <v>June</v>
      </c>
      <c r="B238" s="10">
        <v>44717</v>
      </c>
      <c r="C238" s="1" t="s">
        <v>499</v>
      </c>
      <c r="D238" s="1" t="str">
        <f>UPPER(Table1[[#This Row],[NAME2]])</f>
        <v>NOEL MACK</v>
      </c>
      <c r="E238" s="1" t="s">
        <v>275</v>
      </c>
      <c r="F238" s="1" t="s">
        <v>276</v>
      </c>
      <c r="G238" s="1" t="s">
        <v>13</v>
      </c>
      <c r="H238" s="1" t="s">
        <v>277</v>
      </c>
      <c r="I238" s="1" t="s">
        <v>30</v>
      </c>
      <c r="J238" s="9">
        <v>64</v>
      </c>
      <c r="K238" s="1" t="str">
        <f>IF(Table1[[#This Row],[AGE]]&lt;=18,"CHILD",IF(Table1[[#This Row],[AGE]]&lt;=20,"TEEN",IF(Table1[[#This Row],[AGE]]&lt;=40,"ADULT",IF(Table1[[#This Row],[AGE]]&lt;=60,"SENIOR CITIZEN","OLD CITIZEN"))))</f>
        <v>OLD CITIZEN</v>
      </c>
      <c r="L238" s="1" t="s">
        <v>66</v>
      </c>
      <c r="M238" s="1" t="s">
        <v>61</v>
      </c>
      <c r="N238" s="13">
        <f>VLOOKUP(Table1[[#This Row],[TRANSACTION ID]],'Transaction ID Record'!$C$3:$D$510,2,FALSE)</f>
        <v>40531</v>
      </c>
    </row>
    <row r="239" spans="1:14" x14ac:dyDescent="0.35">
      <c r="A239" s="6" t="str">
        <f>TEXT(Table1[[#This Row],[DATE]],"MMMM")</f>
        <v>June</v>
      </c>
      <c r="B239" s="10">
        <v>44718</v>
      </c>
      <c r="C239" s="1" t="s">
        <v>500</v>
      </c>
      <c r="D239" s="1" t="str">
        <f>UPPER(Table1[[#This Row],[NAME2]])</f>
        <v>OPRAH ROD</v>
      </c>
      <c r="E239" s="1" t="s">
        <v>501</v>
      </c>
      <c r="F239" s="1" t="s">
        <v>834</v>
      </c>
      <c r="G239" s="1" t="s">
        <v>21</v>
      </c>
      <c r="H239" s="1" t="s">
        <v>502</v>
      </c>
      <c r="I239" s="1" t="s">
        <v>15</v>
      </c>
      <c r="J239" s="9">
        <v>21</v>
      </c>
      <c r="K239" s="1" t="str">
        <f>IF(Table1[[#This Row],[AGE]]&lt;=18,"CHILD",IF(Table1[[#This Row],[AGE]]&lt;=20,"TEEN",IF(Table1[[#This Row],[AGE]]&lt;=40,"ADULT",IF(Table1[[#This Row],[AGE]]&lt;=60,"SENIOR CITIZEN","OLD CITIZEN"))))</f>
        <v>ADULT</v>
      </c>
      <c r="L239" s="1" t="s">
        <v>16</v>
      </c>
      <c r="M239" s="1" t="s">
        <v>32</v>
      </c>
      <c r="N239" s="13">
        <f>VLOOKUP(Table1[[#This Row],[TRANSACTION ID]],'Transaction ID Record'!$C$3:$D$510,2,FALSE)</f>
        <v>159414</v>
      </c>
    </row>
    <row r="240" spans="1:14" x14ac:dyDescent="0.35">
      <c r="A240" s="6" t="str">
        <f>TEXT(Table1[[#This Row],[DATE]],"MMMM")</f>
        <v>June</v>
      </c>
      <c r="B240" s="10">
        <v>44719</v>
      </c>
      <c r="C240" s="1" t="s">
        <v>503</v>
      </c>
      <c r="D240" s="1" t="str">
        <f>UPPER(Table1[[#This Row],[NAME2]])</f>
        <v>EMERSON PANOVSKY</v>
      </c>
      <c r="E240" s="1" t="s">
        <v>75</v>
      </c>
      <c r="F240" s="1" t="s">
        <v>76</v>
      </c>
      <c r="G240" s="1" t="s">
        <v>21</v>
      </c>
      <c r="H240" s="1" t="s">
        <v>77</v>
      </c>
      <c r="I240" s="1" t="s">
        <v>30</v>
      </c>
      <c r="J240" s="9">
        <v>19</v>
      </c>
      <c r="K240" s="1" t="str">
        <f>IF(Table1[[#This Row],[AGE]]&lt;=18,"CHILD",IF(Table1[[#This Row],[AGE]]&lt;=20,"TEEN",IF(Table1[[#This Row],[AGE]]&lt;=40,"ADULT",IF(Table1[[#This Row],[AGE]]&lt;=60,"SENIOR CITIZEN","OLD CITIZEN"))))</f>
        <v>TEEN</v>
      </c>
      <c r="L240" s="1" t="s">
        <v>42</v>
      </c>
      <c r="M240" s="1" t="s">
        <v>61</v>
      </c>
      <c r="N240" s="13">
        <f>VLOOKUP(Table1[[#This Row],[TRANSACTION ID]],'Transaction ID Record'!$C$3:$D$510,2,FALSE)</f>
        <v>9418</v>
      </c>
    </row>
    <row r="241" spans="1:14" x14ac:dyDescent="0.35">
      <c r="A241" s="6" t="str">
        <f>TEXT(Table1[[#This Row],[DATE]],"MMMM")</f>
        <v>June</v>
      </c>
      <c r="B241" s="10">
        <v>44719</v>
      </c>
      <c r="C241" s="1" t="s">
        <v>504</v>
      </c>
      <c r="D241" s="1" t="str">
        <f>UPPER(Table1[[#This Row],[NAME2]])</f>
        <v>ODUMOSU DUKE</v>
      </c>
      <c r="E241" s="1" t="s">
        <v>59</v>
      </c>
      <c r="F241" s="1" t="s">
        <v>800</v>
      </c>
      <c r="G241" s="1" t="s">
        <v>13</v>
      </c>
      <c r="H241" s="1" t="s">
        <v>60</v>
      </c>
      <c r="I241" s="1" t="s">
        <v>15</v>
      </c>
      <c r="J241" s="9">
        <v>48</v>
      </c>
      <c r="K241" s="1" t="str">
        <f>IF(Table1[[#This Row],[AGE]]&lt;=18,"CHILD",IF(Table1[[#This Row],[AGE]]&lt;=20,"TEEN",IF(Table1[[#This Row],[AGE]]&lt;=40,"ADULT",IF(Table1[[#This Row],[AGE]]&lt;=60,"SENIOR CITIZEN","OLD CITIZEN"))))</f>
        <v>SENIOR CITIZEN</v>
      </c>
      <c r="L241" s="1" t="s">
        <v>151</v>
      </c>
      <c r="M241" s="1" t="s">
        <v>47</v>
      </c>
      <c r="N241" s="13">
        <f>VLOOKUP(Table1[[#This Row],[TRANSACTION ID]],'Transaction ID Record'!$C$3:$D$510,2,FALSE)</f>
        <v>69644</v>
      </c>
    </row>
    <row r="242" spans="1:14" x14ac:dyDescent="0.35">
      <c r="A242" s="6" t="str">
        <f>TEXT(Table1[[#This Row],[DATE]],"MMMM")</f>
        <v>June</v>
      </c>
      <c r="B242" s="10">
        <v>44720</v>
      </c>
      <c r="C242" s="1" t="s">
        <v>505</v>
      </c>
      <c r="D242" s="1" t="str">
        <f>UPPER(Table1[[#This Row],[NAME2]])</f>
        <v>THOMAS BYRD</v>
      </c>
      <c r="E242" s="1" t="s">
        <v>369</v>
      </c>
      <c r="F242" s="1" t="s">
        <v>826</v>
      </c>
      <c r="G242" s="1" t="s">
        <v>13</v>
      </c>
      <c r="H242" s="1" t="s">
        <v>370</v>
      </c>
      <c r="I242" s="1" t="s">
        <v>30</v>
      </c>
      <c r="J242" s="9">
        <v>32</v>
      </c>
      <c r="K242" s="1" t="str">
        <f>IF(Table1[[#This Row],[AGE]]&lt;=18,"CHILD",IF(Table1[[#This Row],[AGE]]&lt;=20,"TEEN",IF(Table1[[#This Row],[AGE]]&lt;=40,"ADULT",IF(Table1[[#This Row],[AGE]]&lt;=60,"SENIOR CITIZEN","OLD CITIZEN"))))</f>
        <v>ADULT</v>
      </c>
      <c r="L242" s="1" t="s">
        <v>42</v>
      </c>
      <c r="M242" s="1" t="s">
        <v>61</v>
      </c>
      <c r="N242" s="13">
        <f>VLOOKUP(Table1[[#This Row],[TRANSACTION ID]],'Transaction ID Record'!$C$3:$D$510,2,FALSE)</f>
        <v>138925</v>
      </c>
    </row>
    <row r="243" spans="1:14" x14ac:dyDescent="0.35">
      <c r="A243" s="6" t="str">
        <f>TEXT(Table1[[#This Row],[DATE]],"MMMM")</f>
        <v>June</v>
      </c>
      <c r="B243" s="10">
        <v>44721</v>
      </c>
      <c r="C243" s="1" t="s">
        <v>506</v>
      </c>
      <c r="D243" s="1" t="str">
        <f>UPPER(Table1[[#This Row],[NAME2]])</f>
        <v>OLAYINKA CANINI</v>
      </c>
      <c r="E243" s="1" t="s">
        <v>319</v>
      </c>
      <c r="F243" s="1" t="s">
        <v>823</v>
      </c>
      <c r="G243" s="1" t="s">
        <v>21</v>
      </c>
      <c r="H243" s="1" t="s">
        <v>320</v>
      </c>
      <c r="I243" s="1" t="s">
        <v>30</v>
      </c>
      <c r="J243" s="9">
        <v>45</v>
      </c>
      <c r="K243" s="1" t="str">
        <f>IF(Table1[[#This Row],[AGE]]&lt;=18,"CHILD",IF(Table1[[#This Row],[AGE]]&lt;=20,"TEEN",IF(Table1[[#This Row],[AGE]]&lt;=40,"ADULT",IF(Table1[[#This Row],[AGE]]&lt;=60,"SENIOR CITIZEN","OLD CITIZEN"))))</f>
        <v>SENIOR CITIZEN</v>
      </c>
      <c r="L243" s="1" t="s">
        <v>151</v>
      </c>
      <c r="M243" s="1" t="s">
        <v>47</v>
      </c>
      <c r="N243" s="13">
        <f>VLOOKUP(Table1[[#This Row],[TRANSACTION ID]],'Transaction ID Record'!$C$3:$D$510,2,FALSE)</f>
        <v>11535</v>
      </c>
    </row>
    <row r="244" spans="1:14" x14ac:dyDescent="0.35">
      <c r="A244" s="6" t="str">
        <f>TEXT(Table1[[#This Row],[DATE]],"MMMM")</f>
        <v>June</v>
      </c>
      <c r="B244" s="10">
        <v>44722</v>
      </c>
      <c r="C244" s="1" t="s">
        <v>507</v>
      </c>
      <c r="D244" s="1" t="str">
        <f>UPPER(Table1[[#This Row],[NAME2]])</f>
        <v>OMOLARA SELHORST</v>
      </c>
      <c r="E244" s="1" t="s">
        <v>173</v>
      </c>
      <c r="F244" s="1" t="s">
        <v>174</v>
      </c>
      <c r="G244" s="1" t="s">
        <v>21</v>
      </c>
      <c r="H244" s="1" t="s">
        <v>175</v>
      </c>
      <c r="I244" s="1" t="s">
        <v>15</v>
      </c>
      <c r="J244" s="9">
        <v>66</v>
      </c>
      <c r="K244" s="1" t="str">
        <f>IF(Table1[[#This Row],[AGE]]&lt;=18,"CHILD",IF(Table1[[#This Row],[AGE]]&lt;=20,"TEEN",IF(Table1[[#This Row],[AGE]]&lt;=40,"ADULT",IF(Table1[[#This Row],[AGE]]&lt;=60,"SENIOR CITIZEN","OLD CITIZEN"))))</f>
        <v>OLD CITIZEN</v>
      </c>
      <c r="L244" s="1" t="s">
        <v>52</v>
      </c>
      <c r="M244" s="1" t="s">
        <v>61</v>
      </c>
      <c r="N244" s="13">
        <f>VLOOKUP(Table1[[#This Row],[TRANSACTION ID]],'Transaction ID Record'!$C$3:$D$510,2,FALSE)</f>
        <v>17566</v>
      </c>
    </row>
    <row r="245" spans="1:14" x14ac:dyDescent="0.35">
      <c r="A245" s="6" t="str">
        <f>TEXT(Table1[[#This Row],[DATE]],"MMMM")</f>
        <v>June</v>
      </c>
      <c r="B245" s="10">
        <v>44722</v>
      </c>
      <c r="C245" s="1" t="s">
        <v>508</v>
      </c>
      <c r="D245" s="1" t="str">
        <f>UPPER(Table1[[#This Row],[NAME2]])</f>
        <v>ATHENA MACDONALD</v>
      </c>
      <c r="E245" s="1" t="s">
        <v>169</v>
      </c>
      <c r="F245" s="1" t="s">
        <v>170</v>
      </c>
      <c r="G245" s="1" t="s">
        <v>13</v>
      </c>
      <c r="H245" s="1" t="s">
        <v>171</v>
      </c>
      <c r="I245" s="1" t="s">
        <v>30</v>
      </c>
      <c r="J245" s="9">
        <v>29</v>
      </c>
      <c r="K245" s="1" t="str">
        <f>IF(Table1[[#This Row],[AGE]]&lt;=18,"CHILD",IF(Table1[[#This Row],[AGE]]&lt;=20,"TEEN",IF(Table1[[#This Row],[AGE]]&lt;=40,"ADULT",IF(Table1[[#This Row],[AGE]]&lt;=60,"SENIOR CITIZEN","OLD CITIZEN"))))</f>
        <v>ADULT</v>
      </c>
      <c r="L245" s="1" t="s">
        <v>31</v>
      </c>
      <c r="M245" s="1" t="s">
        <v>32</v>
      </c>
      <c r="N245" s="13">
        <f>VLOOKUP(Table1[[#This Row],[TRANSACTION ID]],'Transaction ID Record'!$C$3:$D$510,2,FALSE)</f>
        <v>33384</v>
      </c>
    </row>
    <row r="246" spans="1:14" x14ac:dyDescent="0.35">
      <c r="A246" s="6" t="str">
        <f>TEXT(Table1[[#This Row],[DATE]],"MMMM")</f>
        <v>June</v>
      </c>
      <c r="B246" s="10">
        <v>44722</v>
      </c>
      <c r="C246" s="1" t="s">
        <v>509</v>
      </c>
      <c r="D246" s="1" t="str">
        <f>UPPER(Table1[[#This Row],[NAME2]])</f>
        <v>AYO VANG</v>
      </c>
      <c r="E246" s="1" t="s">
        <v>272</v>
      </c>
      <c r="F246" s="1" t="s">
        <v>820</v>
      </c>
      <c r="G246" s="1" t="s">
        <v>13</v>
      </c>
      <c r="H246" s="1" t="s">
        <v>273</v>
      </c>
      <c r="I246" s="1" t="s">
        <v>15</v>
      </c>
      <c r="J246" s="9">
        <v>44</v>
      </c>
      <c r="K246" s="1" t="str">
        <f>IF(Table1[[#This Row],[AGE]]&lt;=18,"CHILD",IF(Table1[[#This Row],[AGE]]&lt;=20,"TEEN",IF(Table1[[#This Row],[AGE]]&lt;=40,"ADULT",IF(Table1[[#This Row],[AGE]]&lt;=60,"SENIOR CITIZEN","OLD CITIZEN"))))</f>
        <v>SENIOR CITIZEN</v>
      </c>
      <c r="L246" s="1" t="s">
        <v>167</v>
      </c>
      <c r="M246" s="1" t="s">
        <v>32</v>
      </c>
      <c r="N246" s="13">
        <f>VLOOKUP(Table1[[#This Row],[TRANSACTION ID]],'Transaction ID Record'!$C$3:$D$510,2,FALSE)</f>
        <v>64122</v>
      </c>
    </row>
    <row r="247" spans="1:14" x14ac:dyDescent="0.35">
      <c r="A247" s="6" t="str">
        <f>TEXT(Table1[[#This Row],[DATE]],"MMMM")</f>
        <v>June</v>
      </c>
      <c r="B247" s="10">
        <v>44724</v>
      </c>
      <c r="C247" s="1" t="s">
        <v>510</v>
      </c>
      <c r="D247" s="1" t="str">
        <f>UPPER(Table1[[#This Row],[NAME2]])</f>
        <v>RHONA MITCHELL</v>
      </c>
      <c r="E247" s="1" t="s">
        <v>19</v>
      </c>
      <c r="F247" s="1" t="s">
        <v>20</v>
      </c>
      <c r="G247" s="1" t="s">
        <v>21</v>
      </c>
      <c r="H247" s="1" t="s">
        <v>22</v>
      </c>
      <c r="I247" s="1" t="s">
        <v>23</v>
      </c>
      <c r="J247" s="9">
        <v>72</v>
      </c>
      <c r="K247" s="1" t="str">
        <f>IF(Table1[[#This Row],[AGE]]&lt;=18,"CHILD",IF(Table1[[#This Row],[AGE]]&lt;=20,"TEEN",IF(Table1[[#This Row],[AGE]]&lt;=40,"ADULT",IF(Table1[[#This Row],[AGE]]&lt;=60,"SENIOR CITIZEN","OLD CITIZEN"))))</f>
        <v>OLD CITIZEN</v>
      </c>
      <c r="L247" s="1" t="s">
        <v>66</v>
      </c>
      <c r="M247" s="1" t="s">
        <v>25</v>
      </c>
      <c r="N247" s="13">
        <f>VLOOKUP(Table1[[#This Row],[TRANSACTION ID]],'Transaction ID Record'!$C$3:$D$510,2,FALSE)</f>
        <v>179493</v>
      </c>
    </row>
    <row r="248" spans="1:14" x14ac:dyDescent="0.35">
      <c r="A248" s="6" t="str">
        <f>TEXT(Table1[[#This Row],[DATE]],"MMMM")</f>
        <v>June</v>
      </c>
      <c r="B248" s="10">
        <v>44724</v>
      </c>
      <c r="C248" s="1" t="s">
        <v>511</v>
      </c>
      <c r="D248" s="1" t="str">
        <f>UPPER(Table1[[#This Row],[NAME2]])</f>
        <v>KEATON JIMENEZ</v>
      </c>
      <c r="E248" s="1" t="s">
        <v>250</v>
      </c>
      <c r="F248" s="1" t="s">
        <v>251</v>
      </c>
      <c r="G248" s="1" t="s">
        <v>21</v>
      </c>
      <c r="H248" s="1" t="s">
        <v>252</v>
      </c>
      <c r="I248" s="1" t="s">
        <v>15</v>
      </c>
      <c r="J248" s="9">
        <v>35</v>
      </c>
      <c r="K248" s="1" t="str">
        <f>IF(Table1[[#This Row],[AGE]]&lt;=18,"CHILD",IF(Table1[[#This Row],[AGE]]&lt;=20,"TEEN",IF(Table1[[#This Row],[AGE]]&lt;=40,"ADULT",IF(Table1[[#This Row],[AGE]]&lt;=60,"SENIOR CITIZEN","OLD CITIZEN"))))</f>
        <v>ADULT</v>
      </c>
      <c r="L248" s="1" t="s">
        <v>57</v>
      </c>
      <c r="M248" s="1" t="s">
        <v>61</v>
      </c>
      <c r="N248" s="13">
        <f>VLOOKUP(Table1[[#This Row],[TRANSACTION ID]],'Transaction ID Record'!$C$3:$D$510,2,FALSE)</f>
        <v>181055</v>
      </c>
    </row>
    <row r="249" spans="1:14" x14ac:dyDescent="0.35">
      <c r="A249" s="6" t="str">
        <f>TEXT(Table1[[#This Row],[DATE]],"MMMM")</f>
        <v>June</v>
      </c>
      <c r="B249" s="10">
        <v>44724</v>
      </c>
      <c r="C249" s="1" t="s">
        <v>512</v>
      </c>
      <c r="D249" s="1" t="str">
        <f>UPPER(Table1[[#This Row],[NAME2]])</f>
        <v>BENEDICT MILLER</v>
      </c>
      <c r="E249" s="1" t="s">
        <v>87</v>
      </c>
      <c r="F249" s="1" t="s">
        <v>88</v>
      </c>
      <c r="G249" s="1" t="s">
        <v>13</v>
      </c>
      <c r="H249" s="1" t="s">
        <v>89</v>
      </c>
      <c r="I249" s="1" t="s">
        <v>23</v>
      </c>
      <c r="J249" s="9">
        <v>36</v>
      </c>
      <c r="K249" s="1" t="str">
        <f>IF(Table1[[#This Row],[AGE]]&lt;=18,"CHILD",IF(Table1[[#This Row],[AGE]]&lt;=20,"TEEN",IF(Table1[[#This Row],[AGE]]&lt;=40,"ADULT",IF(Table1[[#This Row],[AGE]]&lt;=60,"SENIOR CITIZEN","OLD CITIZEN"))))</f>
        <v>ADULT</v>
      </c>
      <c r="L249" s="1" t="s">
        <v>24</v>
      </c>
      <c r="M249" s="1" t="s">
        <v>17</v>
      </c>
      <c r="N249" s="13">
        <f>VLOOKUP(Table1[[#This Row],[TRANSACTION ID]],'Transaction ID Record'!$C$3:$D$510,2,FALSE)</f>
        <v>153487</v>
      </c>
    </row>
    <row r="250" spans="1:14" x14ac:dyDescent="0.35">
      <c r="A250" s="6" t="str">
        <f>TEXT(Table1[[#This Row],[DATE]],"MMMM")</f>
        <v>June</v>
      </c>
      <c r="B250" s="10">
        <v>44725</v>
      </c>
      <c r="C250" s="1" t="s">
        <v>513</v>
      </c>
      <c r="D250" s="1" t="str">
        <f>UPPER(Table1[[#This Row],[NAME2]])</f>
        <v>CYRUS SMITH</v>
      </c>
      <c r="E250" s="1" t="s">
        <v>265</v>
      </c>
      <c r="F250" s="1" t="s">
        <v>266</v>
      </c>
      <c r="G250" s="1" t="s">
        <v>13</v>
      </c>
      <c r="H250" s="1" t="s">
        <v>267</v>
      </c>
      <c r="I250" s="1" t="s">
        <v>15</v>
      </c>
      <c r="J250" s="9">
        <v>72</v>
      </c>
      <c r="K250" s="1" t="str">
        <f>IF(Table1[[#This Row],[AGE]]&lt;=18,"CHILD",IF(Table1[[#This Row],[AGE]]&lt;=20,"TEEN",IF(Table1[[#This Row],[AGE]]&lt;=40,"ADULT",IF(Table1[[#This Row],[AGE]]&lt;=60,"SENIOR CITIZEN","OLD CITIZEN"))))</f>
        <v>OLD CITIZEN</v>
      </c>
      <c r="L250" s="1" t="s">
        <v>16</v>
      </c>
      <c r="M250" s="1" t="s">
        <v>47</v>
      </c>
      <c r="N250" s="13">
        <f>VLOOKUP(Table1[[#This Row],[TRANSACTION ID]],'Transaction ID Record'!$C$3:$D$510,2,FALSE)</f>
        <v>153276</v>
      </c>
    </row>
    <row r="251" spans="1:14" x14ac:dyDescent="0.35">
      <c r="A251" s="6" t="str">
        <f>TEXT(Table1[[#This Row],[DATE]],"MMMM")</f>
        <v>June</v>
      </c>
      <c r="B251" s="10">
        <v>44725</v>
      </c>
      <c r="C251" s="1" t="s">
        <v>514</v>
      </c>
      <c r="D251" s="1" t="str">
        <f>UPPER(Table1[[#This Row],[NAME2]])</f>
        <v>BAMIDELE ALEXANDER</v>
      </c>
      <c r="E251" s="1" t="s">
        <v>34</v>
      </c>
      <c r="F251" s="1" t="s">
        <v>35</v>
      </c>
      <c r="G251" s="1" t="s">
        <v>13</v>
      </c>
      <c r="H251" s="1" t="s">
        <v>36</v>
      </c>
      <c r="I251" s="1" t="s">
        <v>23</v>
      </c>
      <c r="J251" s="9">
        <v>61</v>
      </c>
      <c r="K251" s="1" t="str">
        <f>IF(Table1[[#This Row],[AGE]]&lt;=18,"CHILD",IF(Table1[[#This Row],[AGE]]&lt;=20,"TEEN",IF(Table1[[#This Row],[AGE]]&lt;=40,"ADULT",IF(Table1[[#This Row],[AGE]]&lt;=60,"SENIOR CITIZEN","OLD CITIZEN"))))</f>
        <v>OLD CITIZEN</v>
      </c>
      <c r="L251" s="1" t="s">
        <v>42</v>
      </c>
      <c r="M251" s="1" t="s">
        <v>25</v>
      </c>
      <c r="N251" s="13">
        <f>VLOOKUP(Table1[[#This Row],[TRANSACTION ID]],'Transaction ID Record'!$C$3:$D$510,2,FALSE)</f>
        <v>117265</v>
      </c>
    </row>
    <row r="252" spans="1:14" x14ac:dyDescent="0.35">
      <c r="A252" s="6" t="str">
        <f>TEXT(Table1[[#This Row],[DATE]],"MMMM")</f>
        <v>June</v>
      </c>
      <c r="B252" s="10">
        <v>44726</v>
      </c>
      <c r="C252" s="1" t="s">
        <v>515</v>
      </c>
      <c r="D252" s="1" t="str">
        <f>UPPER(Table1[[#This Row],[NAME2]])</f>
        <v>ADEBOLA SOLIS</v>
      </c>
      <c r="E252" s="1" t="s">
        <v>244</v>
      </c>
      <c r="F252" s="1" t="s">
        <v>245</v>
      </c>
      <c r="G252" s="1" t="s">
        <v>21</v>
      </c>
      <c r="H252" s="1" t="s">
        <v>246</v>
      </c>
      <c r="I252" s="1" t="s">
        <v>15</v>
      </c>
      <c r="J252" s="9">
        <v>29</v>
      </c>
      <c r="K252" s="1" t="str">
        <f>IF(Table1[[#This Row],[AGE]]&lt;=18,"CHILD",IF(Table1[[#This Row],[AGE]]&lt;=20,"TEEN",IF(Table1[[#This Row],[AGE]]&lt;=40,"ADULT",IF(Table1[[#This Row],[AGE]]&lt;=60,"SENIOR CITIZEN","OLD CITIZEN"))))</f>
        <v>ADULT</v>
      </c>
      <c r="L252" s="1" t="s">
        <v>57</v>
      </c>
      <c r="M252" s="1" t="s">
        <v>17</v>
      </c>
      <c r="N252" s="13">
        <f>VLOOKUP(Table1[[#This Row],[TRANSACTION ID]],'Transaction ID Record'!$C$3:$D$510,2,FALSE)</f>
        <v>156430</v>
      </c>
    </row>
    <row r="253" spans="1:14" x14ac:dyDescent="0.35">
      <c r="A253" s="6" t="str">
        <f>TEXT(Table1[[#This Row],[DATE]],"MMMM")</f>
        <v>June</v>
      </c>
      <c r="B253" s="10">
        <v>44727</v>
      </c>
      <c r="C253" s="1" t="s">
        <v>516</v>
      </c>
      <c r="D253" s="1" t="str">
        <f>UPPER(Table1[[#This Row],[NAME2]])</f>
        <v>TAOHEED ABBOTT</v>
      </c>
      <c r="E253" s="1" t="s">
        <v>115</v>
      </c>
      <c r="F253" s="1" t="s">
        <v>808</v>
      </c>
      <c r="G253" s="1" t="s">
        <v>13</v>
      </c>
      <c r="H253" s="1" t="s">
        <v>116</v>
      </c>
      <c r="I253" s="1" t="s">
        <v>15</v>
      </c>
      <c r="J253" s="9">
        <v>67</v>
      </c>
      <c r="K253" s="1" t="str">
        <f>IF(Table1[[#This Row],[AGE]]&lt;=18,"CHILD",IF(Table1[[#This Row],[AGE]]&lt;=20,"TEEN",IF(Table1[[#This Row],[AGE]]&lt;=40,"ADULT",IF(Table1[[#This Row],[AGE]]&lt;=60,"SENIOR CITIZEN","OLD CITIZEN"))))</f>
        <v>OLD CITIZEN</v>
      </c>
      <c r="L253" s="1" t="s">
        <v>37</v>
      </c>
      <c r="M253" s="1" t="s">
        <v>47</v>
      </c>
      <c r="N253" s="13">
        <f>VLOOKUP(Table1[[#This Row],[TRANSACTION ID]],'Transaction ID Record'!$C$3:$D$510,2,FALSE)</f>
        <v>181022</v>
      </c>
    </row>
    <row r="254" spans="1:14" x14ac:dyDescent="0.35">
      <c r="A254" s="6" t="str">
        <f>TEXT(Table1[[#This Row],[DATE]],"MMMM")</f>
        <v>June</v>
      </c>
      <c r="B254" s="10">
        <v>44728</v>
      </c>
      <c r="C254" s="1" t="s">
        <v>517</v>
      </c>
      <c r="D254" s="1" t="str">
        <f>UPPER(Table1[[#This Row],[NAME2]])</f>
        <v>ISAAC MATT</v>
      </c>
      <c r="E254" s="1" t="s">
        <v>518</v>
      </c>
      <c r="F254" s="1" t="s">
        <v>519</v>
      </c>
      <c r="G254" s="1" t="s">
        <v>13</v>
      </c>
      <c r="H254" s="1" t="s">
        <v>520</v>
      </c>
      <c r="I254" s="1" t="s">
        <v>30</v>
      </c>
      <c r="J254" s="9">
        <v>74</v>
      </c>
      <c r="K254" s="1" t="str">
        <f>IF(Table1[[#This Row],[AGE]]&lt;=18,"CHILD",IF(Table1[[#This Row],[AGE]]&lt;=20,"TEEN",IF(Table1[[#This Row],[AGE]]&lt;=40,"ADULT",IF(Table1[[#This Row],[AGE]]&lt;=60,"SENIOR CITIZEN","OLD CITIZEN"))))</f>
        <v>OLD CITIZEN</v>
      </c>
      <c r="L254" s="1" t="s">
        <v>31</v>
      </c>
      <c r="M254" s="1" t="s">
        <v>47</v>
      </c>
      <c r="N254" s="13">
        <f>VLOOKUP(Table1[[#This Row],[TRANSACTION ID]],'Transaction ID Record'!$C$3:$D$510,2,FALSE)</f>
        <v>150693</v>
      </c>
    </row>
    <row r="255" spans="1:14" x14ac:dyDescent="0.35">
      <c r="A255" s="6" t="str">
        <f>TEXT(Table1[[#This Row],[DATE]],"MMMM")</f>
        <v>June</v>
      </c>
      <c r="B255" s="10">
        <v>44730</v>
      </c>
      <c r="C255" s="1" t="s">
        <v>521</v>
      </c>
      <c r="D255" s="1" t="str">
        <f>UPPER(Table1[[#This Row],[NAME2]])</f>
        <v>EHINDERO ADAMS</v>
      </c>
      <c r="E255" s="1" t="s">
        <v>446</v>
      </c>
      <c r="F255" s="1" t="s">
        <v>447</v>
      </c>
      <c r="G255" s="1" t="s">
        <v>21</v>
      </c>
      <c r="H255" s="1" t="s">
        <v>448</v>
      </c>
      <c r="I255" s="1" t="s">
        <v>23</v>
      </c>
      <c r="J255" s="9">
        <v>75</v>
      </c>
      <c r="K255" s="1" t="str">
        <f>IF(Table1[[#This Row],[AGE]]&lt;=18,"CHILD",IF(Table1[[#This Row],[AGE]]&lt;=20,"TEEN",IF(Table1[[#This Row],[AGE]]&lt;=40,"ADULT",IF(Table1[[#This Row],[AGE]]&lt;=60,"SENIOR CITIZEN","OLD CITIZEN"))))</f>
        <v>OLD CITIZEN</v>
      </c>
      <c r="L255" s="1" t="s">
        <v>57</v>
      </c>
      <c r="M255" s="1" t="s">
        <v>25</v>
      </c>
      <c r="N255" s="13">
        <f>VLOOKUP(Table1[[#This Row],[TRANSACTION ID]],'Transaction ID Record'!$C$3:$D$510,2,FALSE)</f>
        <v>137029</v>
      </c>
    </row>
    <row r="256" spans="1:14" x14ac:dyDescent="0.35">
      <c r="A256" s="6" t="str">
        <f>TEXT(Table1[[#This Row],[DATE]],"MMMM")</f>
        <v>June</v>
      </c>
      <c r="B256" s="10">
        <v>44731</v>
      </c>
      <c r="C256" s="1" t="s">
        <v>522</v>
      </c>
      <c r="D256" s="1" t="str">
        <f>UPPER(Table1[[#This Row],[NAME2]])</f>
        <v>KEHINDE BUSH</v>
      </c>
      <c r="E256" s="1" t="s">
        <v>427</v>
      </c>
      <c r="F256" s="1" t="s">
        <v>828</v>
      </c>
      <c r="G256" s="1" t="s">
        <v>21</v>
      </c>
      <c r="H256" s="1" t="s">
        <v>428</v>
      </c>
      <c r="I256" s="1" t="s">
        <v>15</v>
      </c>
      <c r="J256" s="9">
        <v>48</v>
      </c>
      <c r="K256" s="1" t="str">
        <f>IF(Table1[[#This Row],[AGE]]&lt;=18,"CHILD",IF(Table1[[#This Row],[AGE]]&lt;=20,"TEEN",IF(Table1[[#This Row],[AGE]]&lt;=40,"ADULT",IF(Table1[[#This Row],[AGE]]&lt;=60,"SENIOR CITIZEN","OLD CITIZEN"))))</f>
        <v>SENIOR CITIZEN</v>
      </c>
      <c r="L256" s="1" t="s">
        <v>37</v>
      </c>
      <c r="M256" s="1" t="s">
        <v>17</v>
      </c>
      <c r="N256" s="13">
        <f>VLOOKUP(Table1[[#This Row],[TRANSACTION ID]],'Transaction ID Record'!$C$3:$D$510,2,FALSE)</f>
        <v>172353</v>
      </c>
    </row>
    <row r="257" spans="1:14" x14ac:dyDescent="0.35">
      <c r="A257" s="6" t="str">
        <f>TEXT(Table1[[#This Row],[DATE]],"MMMM")</f>
        <v>June</v>
      </c>
      <c r="B257" s="10">
        <v>44731</v>
      </c>
      <c r="C257" s="1" t="s">
        <v>523</v>
      </c>
      <c r="D257" s="1" t="str">
        <f>UPPER(Table1[[#This Row],[NAME2]])</f>
        <v>OPRAH ROD</v>
      </c>
      <c r="E257" s="1" t="s">
        <v>501</v>
      </c>
      <c r="F257" s="1" t="s">
        <v>834</v>
      </c>
      <c r="G257" s="1" t="s">
        <v>21</v>
      </c>
      <c r="H257" s="1" t="s">
        <v>502</v>
      </c>
      <c r="I257" s="1" t="s">
        <v>15</v>
      </c>
      <c r="J257" s="9">
        <v>21</v>
      </c>
      <c r="K257" s="1" t="str">
        <f>IF(Table1[[#This Row],[AGE]]&lt;=18,"CHILD",IF(Table1[[#This Row],[AGE]]&lt;=20,"TEEN",IF(Table1[[#This Row],[AGE]]&lt;=40,"ADULT",IF(Table1[[#This Row],[AGE]]&lt;=60,"SENIOR CITIZEN","OLD CITIZEN"))))</f>
        <v>ADULT</v>
      </c>
      <c r="L257" s="1" t="s">
        <v>151</v>
      </c>
      <c r="M257" s="1" t="s">
        <v>47</v>
      </c>
      <c r="N257" s="13">
        <f>VLOOKUP(Table1[[#This Row],[TRANSACTION ID]],'Transaction ID Record'!$C$3:$D$510,2,FALSE)</f>
        <v>178773</v>
      </c>
    </row>
    <row r="258" spans="1:14" x14ac:dyDescent="0.35">
      <c r="A258" s="6" t="str">
        <f>TEXT(Table1[[#This Row],[DATE]],"MMMM")</f>
        <v>June</v>
      </c>
      <c r="B258" s="10">
        <v>44735</v>
      </c>
      <c r="C258" s="1" t="s">
        <v>524</v>
      </c>
      <c r="D258" s="1" t="str">
        <f>UPPER(Table1[[#This Row],[NAME2]])</f>
        <v>BAKARE ANDREA</v>
      </c>
      <c r="E258" s="1" t="s">
        <v>118</v>
      </c>
      <c r="F258" s="1" t="s">
        <v>809</v>
      </c>
      <c r="G258" s="1" t="s">
        <v>21</v>
      </c>
      <c r="H258" s="1" t="s">
        <v>119</v>
      </c>
      <c r="I258" s="1" t="s">
        <v>30</v>
      </c>
      <c r="J258" s="9">
        <v>19</v>
      </c>
      <c r="K258" s="1" t="str">
        <f>IF(Table1[[#This Row],[AGE]]&lt;=18,"CHILD",IF(Table1[[#This Row],[AGE]]&lt;=20,"TEEN",IF(Table1[[#This Row],[AGE]]&lt;=40,"ADULT",IF(Table1[[#This Row],[AGE]]&lt;=60,"SENIOR CITIZEN","OLD CITIZEN"))))</f>
        <v>TEEN</v>
      </c>
      <c r="L258" s="1" t="s">
        <v>151</v>
      </c>
      <c r="M258" s="1" t="s">
        <v>25</v>
      </c>
      <c r="N258" s="13">
        <f>VLOOKUP(Table1[[#This Row],[TRANSACTION ID]],'Transaction ID Record'!$C$3:$D$510,2,FALSE)</f>
        <v>5990</v>
      </c>
    </row>
    <row r="259" spans="1:14" x14ac:dyDescent="0.35">
      <c r="A259" s="6" t="str">
        <f>TEXT(Table1[[#This Row],[DATE]],"MMMM")</f>
        <v>June</v>
      </c>
      <c r="B259" s="10">
        <v>44735</v>
      </c>
      <c r="C259" s="1" t="s">
        <v>525</v>
      </c>
      <c r="D259" s="1" t="str">
        <f>UPPER(Table1[[#This Row],[NAME2]])</f>
        <v>BELL JUAREZ</v>
      </c>
      <c r="E259" s="1" t="s">
        <v>68</v>
      </c>
      <c r="F259" s="1" t="s">
        <v>801</v>
      </c>
      <c r="G259" s="1" t="s">
        <v>13</v>
      </c>
      <c r="H259" s="1" t="s">
        <v>69</v>
      </c>
      <c r="I259" s="1" t="s">
        <v>30</v>
      </c>
      <c r="J259" s="9">
        <v>71</v>
      </c>
      <c r="K259" s="1" t="str">
        <f>IF(Table1[[#This Row],[AGE]]&lt;=18,"CHILD",IF(Table1[[#This Row],[AGE]]&lt;=20,"TEEN",IF(Table1[[#This Row],[AGE]]&lt;=40,"ADULT",IF(Table1[[#This Row],[AGE]]&lt;=60,"SENIOR CITIZEN","OLD CITIZEN"))))</f>
        <v>OLD CITIZEN</v>
      </c>
      <c r="L259" s="1" t="s">
        <v>66</v>
      </c>
      <c r="M259" s="1" t="s">
        <v>25</v>
      </c>
      <c r="N259" s="13">
        <f>VLOOKUP(Table1[[#This Row],[TRANSACTION ID]],'Transaction ID Record'!$C$3:$D$510,2,FALSE)</f>
        <v>189464</v>
      </c>
    </row>
    <row r="260" spans="1:14" x14ac:dyDescent="0.35">
      <c r="A260" s="6" t="str">
        <f>TEXT(Table1[[#This Row],[DATE]],"MMMM")</f>
        <v>June</v>
      </c>
      <c r="B260" s="10">
        <v>44735</v>
      </c>
      <c r="C260" s="1" t="s">
        <v>526</v>
      </c>
      <c r="D260" s="1" t="str">
        <f>UPPER(Table1[[#This Row],[NAME2]])</f>
        <v>OLUDOYE WEBER</v>
      </c>
      <c r="E260" s="1" t="s">
        <v>27</v>
      </c>
      <c r="F260" s="1" t="s">
        <v>28</v>
      </c>
      <c r="G260" s="1" t="s">
        <v>21</v>
      </c>
      <c r="H260" s="1" t="s">
        <v>29</v>
      </c>
      <c r="I260" s="1" t="s">
        <v>30</v>
      </c>
      <c r="J260" s="9">
        <v>59</v>
      </c>
      <c r="K260" s="1" t="str">
        <f>IF(Table1[[#This Row],[AGE]]&lt;=18,"CHILD",IF(Table1[[#This Row],[AGE]]&lt;=20,"TEEN",IF(Table1[[#This Row],[AGE]]&lt;=40,"ADULT",IF(Table1[[#This Row],[AGE]]&lt;=60,"SENIOR CITIZEN","OLD CITIZEN"))))</f>
        <v>SENIOR CITIZEN</v>
      </c>
      <c r="L260" s="1" t="s">
        <v>52</v>
      </c>
      <c r="M260" s="1" t="s">
        <v>17</v>
      </c>
      <c r="N260" s="13">
        <f>VLOOKUP(Table1[[#This Row],[TRANSACTION ID]],'Transaction ID Record'!$C$3:$D$510,2,FALSE)</f>
        <v>22661</v>
      </c>
    </row>
    <row r="261" spans="1:14" x14ac:dyDescent="0.35">
      <c r="A261" s="6" t="str">
        <f>TEXT(Table1[[#This Row],[DATE]],"MMMM")</f>
        <v>June</v>
      </c>
      <c r="B261" s="10">
        <v>44736</v>
      </c>
      <c r="C261" s="1" t="s">
        <v>527</v>
      </c>
      <c r="D261" s="1" t="str">
        <f>UPPER(Table1[[#This Row],[NAME2]])</f>
        <v>TOYIN DOUGLAS</v>
      </c>
      <c r="E261" s="1" t="s">
        <v>528</v>
      </c>
      <c r="F261" s="1" t="s">
        <v>529</v>
      </c>
      <c r="G261" s="1" t="s">
        <v>21</v>
      </c>
      <c r="H261" s="1" t="s">
        <v>530</v>
      </c>
      <c r="I261" s="1" t="s">
        <v>15</v>
      </c>
      <c r="J261" s="9">
        <v>50</v>
      </c>
      <c r="K261" s="1" t="str">
        <f>IF(Table1[[#This Row],[AGE]]&lt;=18,"CHILD",IF(Table1[[#This Row],[AGE]]&lt;=20,"TEEN",IF(Table1[[#This Row],[AGE]]&lt;=40,"ADULT",IF(Table1[[#This Row],[AGE]]&lt;=60,"SENIOR CITIZEN","OLD CITIZEN"))))</f>
        <v>SENIOR CITIZEN</v>
      </c>
      <c r="L261" s="1" t="s">
        <v>31</v>
      </c>
      <c r="M261" s="1" t="s">
        <v>25</v>
      </c>
      <c r="N261" s="13">
        <f>VLOOKUP(Table1[[#This Row],[TRANSACTION ID]],'Transaction ID Record'!$C$3:$D$510,2,FALSE)</f>
        <v>44242</v>
      </c>
    </row>
    <row r="262" spans="1:14" x14ac:dyDescent="0.35">
      <c r="A262" s="6" t="str">
        <f>TEXT(Table1[[#This Row],[DATE]],"MMMM")</f>
        <v>June</v>
      </c>
      <c r="B262" s="10">
        <v>44736</v>
      </c>
      <c r="C262" s="1" t="s">
        <v>531</v>
      </c>
      <c r="D262" s="1" t="str">
        <f>UPPER(Table1[[#This Row],[NAME2]])</f>
        <v>CYRUS SMITH</v>
      </c>
      <c r="E262" s="1" t="s">
        <v>265</v>
      </c>
      <c r="F262" s="1" t="s">
        <v>266</v>
      </c>
      <c r="G262" s="1" t="s">
        <v>13</v>
      </c>
      <c r="H262" s="1" t="s">
        <v>267</v>
      </c>
      <c r="I262" s="1" t="s">
        <v>15</v>
      </c>
      <c r="J262" s="9">
        <v>72</v>
      </c>
      <c r="K262" s="1" t="str">
        <f>IF(Table1[[#This Row],[AGE]]&lt;=18,"CHILD",IF(Table1[[#This Row],[AGE]]&lt;=20,"TEEN",IF(Table1[[#This Row],[AGE]]&lt;=40,"ADULT",IF(Table1[[#This Row],[AGE]]&lt;=60,"SENIOR CITIZEN","OLD CITIZEN"))))</f>
        <v>OLD CITIZEN</v>
      </c>
      <c r="L262" s="1" t="s">
        <v>66</v>
      </c>
      <c r="M262" s="1" t="s">
        <v>61</v>
      </c>
      <c r="N262" s="13">
        <f>VLOOKUP(Table1[[#This Row],[TRANSACTION ID]],'Transaction ID Record'!$C$3:$D$510,2,FALSE)</f>
        <v>63219</v>
      </c>
    </row>
    <row r="263" spans="1:14" x14ac:dyDescent="0.35">
      <c r="A263" s="6" t="str">
        <f>TEXT(Table1[[#This Row],[DATE]],"MMMM")</f>
        <v>June</v>
      </c>
      <c r="B263" s="10">
        <v>44737</v>
      </c>
      <c r="C263" s="1" t="s">
        <v>532</v>
      </c>
      <c r="D263" s="1" t="str">
        <f>UPPER(Table1[[#This Row],[NAME2]])</f>
        <v>CELESTE MILLER</v>
      </c>
      <c r="E263" s="1" t="s">
        <v>129</v>
      </c>
      <c r="F263" s="1" t="s">
        <v>130</v>
      </c>
      <c r="G263" s="1" t="s">
        <v>21</v>
      </c>
      <c r="H263" s="1" t="s">
        <v>131</v>
      </c>
      <c r="I263" s="1" t="s">
        <v>23</v>
      </c>
      <c r="J263" s="9">
        <v>66</v>
      </c>
      <c r="K263" s="1" t="str">
        <f>IF(Table1[[#This Row],[AGE]]&lt;=18,"CHILD",IF(Table1[[#This Row],[AGE]]&lt;=20,"TEEN",IF(Table1[[#This Row],[AGE]]&lt;=40,"ADULT",IF(Table1[[#This Row],[AGE]]&lt;=60,"SENIOR CITIZEN","OLD CITIZEN"))))</f>
        <v>OLD CITIZEN</v>
      </c>
      <c r="L263" s="1" t="s">
        <v>151</v>
      </c>
      <c r="M263" s="1" t="s">
        <v>25</v>
      </c>
      <c r="N263" s="13">
        <f>VLOOKUP(Table1[[#This Row],[TRANSACTION ID]],'Transaction ID Record'!$C$3:$D$510,2,FALSE)</f>
        <v>50215</v>
      </c>
    </row>
    <row r="264" spans="1:14" x14ac:dyDescent="0.35">
      <c r="A264" s="6" t="str">
        <f>TEXT(Table1[[#This Row],[DATE]],"MMMM")</f>
        <v>June</v>
      </c>
      <c r="B264" s="10">
        <v>44737</v>
      </c>
      <c r="C264" s="1" t="s">
        <v>533</v>
      </c>
      <c r="D264" s="1" t="str">
        <f>UPPER(Table1[[#This Row],[NAME2]])</f>
        <v>OPRAH ROD</v>
      </c>
      <c r="E264" s="1" t="s">
        <v>501</v>
      </c>
      <c r="F264" s="1" t="s">
        <v>834</v>
      </c>
      <c r="G264" s="1" t="s">
        <v>21</v>
      </c>
      <c r="H264" s="1" t="s">
        <v>502</v>
      </c>
      <c r="I264" s="1" t="s">
        <v>15</v>
      </c>
      <c r="J264" s="9">
        <v>21</v>
      </c>
      <c r="K264" s="1" t="str">
        <f>IF(Table1[[#This Row],[AGE]]&lt;=18,"CHILD",IF(Table1[[#This Row],[AGE]]&lt;=20,"TEEN",IF(Table1[[#This Row],[AGE]]&lt;=40,"ADULT",IF(Table1[[#This Row],[AGE]]&lt;=60,"SENIOR CITIZEN","OLD CITIZEN"))))</f>
        <v>ADULT</v>
      </c>
      <c r="L264" s="1" t="s">
        <v>52</v>
      </c>
      <c r="M264" s="1" t="s">
        <v>47</v>
      </c>
      <c r="N264" s="13">
        <f>VLOOKUP(Table1[[#This Row],[TRANSACTION ID]],'Transaction ID Record'!$C$3:$D$510,2,FALSE)</f>
        <v>34306</v>
      </c>
    </row>
    <row r="265" spans="1:14" x14ac:dyDescent="0.35">
      <c r="A265" s="6" t="str">
        <f>TEXT(Table1[[#This Row],[DATE]],"MMMM")</f>
        <v>June</v>
      </c>
      <c r="B265" s="10">
        <v>44737</v>
      </c>
      <c r="C265" s="1" t="s">
        <v>534</v>
      </c>
      <c r="D265" s="1" t="str">
        <f>UPPER(Table1[[#This Row],[NAME2]])</f>
        <v>ADENIYI CHANG</v>
      </c>
      <c r="E265" s="1" t="s">
        <v>125</v>
      </c>
      <c r="F265" s="1" t="s">
        <v>126</v>
      </c>
      <c r="G265" s="1" t="s">
        <v>21</v>
      </c>
      <c r="H265" s="1" t="s">
        <v>127</v>
      </c>
      <c r="I265" s="1" t="s">
        <v>23</v>
      </c>
      <c r="J265" s="9">
        <v>76</v>
      </c>
      <c r="K265" s="1" t="str">
        <f>IF(Table1[[#This Row],[AGE]]&lt;=18,"CHILD",IF(Table1[[#This Row],[AGE]]&lt;=20,"TEEN",IF(Table1[[#This Row],[AGE]]&lt;=40,"ADULT",IF(Table1[[#This Row],[AGE]]&lt;=60,"SENIOR CITIZEN","OLD CITIZEN"))))</f>
        <v>OLD CITIZEN</v>
      </c>
      <c r="L265" s="1" t="s">
        <v>66</v>
      </c>
      <c r="M265" s="1" t="s">
        <v>25</v>
      </c>
      <c r="N265" s="13">
        <f>VLOOKUP(Table1[[#This Row],[TRANSACTION ID]],'Transaction ID Record'!$C$3:$D$510,2,FALSE)</f>
        <v>184598</v>
      </c>
    </row>
    <row r="266" spans="1:14" x14ac:dyDescent="0.35">
      <c r="A266" s="6" t="str">
        <f>TEXT(Table1[[#This Row],[DATE]],"MMMM")</f>
        <v>June</v>
      </c>
      <c r="B266" s="10">
        <v>44738</v>
      </c>
      <c r="C266" s="1" t="s">
        <v>535</v>
      </c>
      <c r="D266" s="1" t="str">
        <f>UPPER(Table1[[#This Row],[NAME2]])</f>
        <v>ADEBOLA SOLIS</v>
      </c>
      <c r="E266" s="1" t="s">
        <v>244</v>
      </c>
      <c r="F266" s="1" t="s">
        <v>245</v>
      </c>
      <c r="G266" s="1" t="s">
        <v>21</v>
      </c>
      <c r="H266" s="1" t="s">
        <v>246</v>
      </c>
      <c r="I266" s="1" t="s">
        <v>15</v>
      </c>
      <c r="J266" s="9">
        <v>29</v>
      </c>
      <c r="K266" s="1" t="str">
        <f>IF(Table1[[#This Row],[AGE]]&lt;=18,"CHILD",IF(Table1[[#This Row],[AGE]]&lt;=20,"TEEN",IF(Table1[[#This Row],[AGE]]&lt;=40,"ADULT",IF(Table1[[#This Row],[AGE]]&lt;=60,"SENIOR CITIZEN","OLD CITIZEN"))))</f>
        <v>ADULT</v>
      </c>
      <c r="L266" s="1" t="s">
        <v>37</v>
      </c>
      <c r="M266" s="1" t="s">
        <v>47</v>
      </c>
      <c r="N266" s="13">
        <f>VLOOKUP(Table1[[#This Row],[TRANSACTION ID]],'Transaction ID Record'!$C$3:$D$510,2,FALSE)</f>
        <v>11047</v>
      </c>
    </row>
    <row r="267" spans="1:14" x14ac:dyDescent="0.35">
      <c r="A267" s="6" t="str">
        <f>TEXT(Table1[[#This Row],[DATE]],"MMMM")</f>
        <v>June</v>
      </c>
      <c r="B267" s="10">
        <v>44738</v>
      </c>
      <c r="C267" s="1" t="s">
        <v>536</v>
      </c>
      <c r="D267" s="1" t="str">
        <f>UPPER(Table1[[#This Row],[NAME2]])</f>
        <v>ATHENA MACDONALD</v>
      </c>
      <c r="E267" s="1" t="s">
        <v>169</v>
      </c>
      <c r="F267" s="1" t="s">
        <v>170</v>
      </c>
      <c r="G267" s="1" t="s">
        <v>13</v>
      </c>
      <c r="H267" s="1" t="s">
        <v>171</v>
      </c>
      <c r="I267" s="1" t="s">
        <v>30</v>
      </c>
      <c r="J267" s="9">
        <v>29</v>
      </c>
      <c r="K267" s="1" t="str">
        <f>IF(Table1[[#This Row],[AGE]]&lt;=18,"CHILD",IF(Table1[[#This Row],[AGE]]&lt;=20,"TEEN",IF(Table1[[#This Row],[AGE]]&lt;=40,"ADULT",IF(Table1[[#This Row],[AGE]]&lt;=60,"SENIOR CITIZEN","OLD CITIZEN"))))</f>
        <v>ADULT</v>
      </c>
      <c r="L267" s="1" t="s">
        <v>42</v>
      </c>
      <c r="M267" s="1" t="s">
        <v>25</v>
      </c>
      <c r="N267" s="13">
        <f>VLOOKUP(Table1[[#This Row],[TRANSACTION ID]],'Transaction ID Record'!$C$3:$D$510,2,FALSE)</f>
        <v>122485</v>
      </c>
    </row>
    <row r="268" spans="1:14" x14ac:dyDescent="0.35">
      <c r="A268" s="6" t="str">
        <f>TEXT(Table1[[#This Row],[DATE]],"MMMM")</f>
        <v>June</v>
      </c>
      <c r="B268" s="10">
        <v>44738</v>
      </c>
      <c r="C268" s="1" t="s">
        <v>537</v>
      </c>
      <c r="D268" s="1" t="str">
        <f>UPPER(Table1[[#This Row],[NAME2]])</f>
        <v>ADEBOLA SOLIS</v>
      </c>
      <c r="E268" s="1" t="s">
        <v>244</v>
      </c>
      <c r="F268" s="1" t="s">
        <v>245</v>
      </c>
      <c r="G268" s="1" t="s">
        <v>21</v>
      </c>
      <c r="H268" s="1" t="s">
        <v>246</v>
      </c>
      <c r="I268" s="1" t="s">
        <v>15</v>
      </c>
      <c r="J268" s="9">
        <v>29</v>
      </c>
      <c r="K268" s="1" t="str">
        <f>IF(Table1[[#This Row],[AGE]]&lt;=18,"CHILD",IF(Table1[[#This Row],[AGE]]&lt;=20,"TEEN",IF(Table1[[#This Row],[AGE]]&lt;=40,"ADULT",IF(Table1[[#This Row],[AGE]]&lt;=60,"SENIOR CITIZEN","OLD CITIZEN"))))</f>
        <v>ADULT</v>
      </c>
      <c r="L268" s="1" t="s">
        <v>42</v>
      </c>
      <c r="M268" s="1" t="s">
        <v>17</v>
      </c>
      <c r="N268" s="13">
        <f>VLOOKUP(Table1[[#This Row],[TRANSACTION ID]],'Transaction ID Record'!$C$3:$D$510,2,FALSE)</f>
        <v>179722</v>
      </c>
    </row>
    <row r="269" spans="1:14" x14ac:dyDescent="0.35">
      <c r="A269" s="6" t="str">
        <f>TEXT(Table1[[#This Row],[DATE]],"MMMM")</f>
        <v>June</v>
      </c>
      <c r="B269" s="10">
        <v>44740</v>
      </c>
      <c r="C269" s="1" t="s">
        <v>538</v>
      </c>
      <c r="D269" s="1" t="str">
        <f>UPPER(Table1[[#This Row],[NAME2]])</f>
        <v>OLAOGUN GILBERT</v>
      </c>
      <c r="E269" s="1" t="s">
        <v>44</v>
      </c>
      <c r="F269" s="1" t="s">
        <v>45</v>
      </c>
      <c r="G269" s="1" t="s">
        <v>13</v>
      </c>
      <c r="H269" s="1" t="s">
        <v>46</v>
      </c>
      <c r="I269" s="1" t="s">
        <v>15</v>
      </c>
      <c r="J269" s="9">
        <v>22</v>
      </c>
      <c r="K269" s="1" t="str">
        <f>IF(Table1[[#This Row],[AGE]]&lt;=18,"CHILD",IF(Table1[[#This Row],[AGE]]&lt;=20,"TEEN",IF(Table1[[#This Row],[AGE]]&lt;=40,"ADULT",IF(Table1[[#This Row],[AGE]]&lt;=60,"SENIOR CITIZEN","OLD CITIZEN"))))</f>
        <v>ADULT</v>
      </c>
      <c r="L269" s="1" t="s">
        <v>42</v>
      </c>
      <c r="M269" s="1" t="s">
        <v>25</v>
      </c>
      <c r="N269" s="13">
        <f>VLOOKUP(Table1[[#This Row],[TRANSACTION ID]],'Transaction ID Record'!$C$3:$D$510,2,FALSE)</f>
        <v>143446</v>
      </c>
    </row>
    <row r="270" spans="1:14" x14ac:dyDescent="0.35">
      <c r="A270" s="6" t="str">
        <f>TEXT(Table1[[#This Row],[DATE]],"MMMM")</f>
        <v>June</v>
      </c>
      <c r="B270" s="10">
        <v>44740</v>
      </c>
      <c r="C270" s="1" t="s">
        <v>539</v>
      </c>
      <c r="D270" s="1" t="str">
        <f>UPPER(Table1[[#This Row],[NAME2]])</f>
        <v>ADENIYI WEAVER</v>
      </c>
      <c r="E270" s="1" t="s">
        <v>196</v>
      </c>
      <c r="F270" s="1" t="s">
        <v>197</v>
      </c>
      <c r="G270" s="1" t="s">
        <v>13</v>
      </c>
      <c r="H270" s="1" t="s">
        <v>198</v>
      </c>
      <c r="I270" s="1" t="s">
        <v>30</v>
      </c>
      <c r="J270" s="9">
        <v>39</v>
      </c>
      <c r="K270" s="1" t="str">
        <f>IF(Table1[[#This Row],[AGE]]&lt;=18,"CHILD",IF(Table1[[#This Row],[AGE]]&lt;=20,"TEEN",IF(Table1[[#This Row],[AGE]]&lt;=40,"ADULT",IF(Table1[[#This Row],[AGE]]&lt;=60,"SENIOR CITIZEN","OLD CITIZEN"))))</f>
        <v>ADULT</v>
      </c>
      <c r="L270" s="1" t="s">
        <v>52</v>
      </c>
      <c r="M270" s="1" t="s">
        <v>32</v>
      </c>
      <c r="N270" s="13">
        <f>VLOOKUP(Table1[[#This Row],[TRANSACTION ID]],'Transaction ID Record'!$C$3:$D$510,2,FALSE)</f>
        <v>142359</v>
      </c>
    </row>
    <row r="271" spans="1:14" x14ac:dyDescent="0.35">
      <c r="A271" s="6" t="str">
        <f>TEXT(Table1[[#This Row],[DATE]],"MMMM")</f>
        <v>June</v>
      </c>
      <c r="B271" s="10">
        <v>44741</v>
      </c>
      <c r="C271" s="1" t="s">
        <v>540</v>
      </c>
      <c r="D271" s="1" t="str">
        <f>UPPER(Table1[[#This Row],[NAME2]])</f>
        <v>PETER DIXON</v>
      </c>
      <c r="E271" s="1" t="s">
        <v>141</v>
      </c>
      <c r="F271" s="1" t="s">
        <v>142</v>
      </c>
      <c r="G271" s="1" t="s">
        <v>21</v>
      </c>
      <c r="H271" s="1" t="s">
        <v>143</v>
      </c>
      <c r="I271" s="1" t="s">
        <v>15</v>
      </c>
      <c r="J271" s="9">
        <v>34</v>
      </c>
      <c r="K271" s="1" t="str">
        <f>IF(Table1[[#This Row],[AGE]]&lt;=18,"CHILD",IF(Table1[[#This Row],[AGE]]&lt;=20,"TEEN",IF(Table1[[#This Row],[AGE]]&lt;=40,"ADULT",IF(Table1[[#This Row],[AGE]]&lt;=60,"SENIOR CITIZEN","OLD CITIZEN"))))</f>
        <v>ADULT</v>
      </c>
      <c r="L271" s="1" t="s">
        <v>31</v>
      </c>
      <c r="M271" s="1" t="s">
        <v>61</v>
      </c>
      <c r="N271" s="13">
        <f>VLOOKUP(Table1[[#This Row],[TRANSACTION ID]],'Transaction ID Record'!$C$3:$D$510,2,FALSE)</f>
        <v>136863</v>
      </c>
    </row>
    <row r="272" spans="1:14" x14ac:dyDescent="0.35">
      <c r="A272" s="6" t="str">
        <f>TEXT(Table1[[#This Row],[DATE]],"MMMM")</f>
        <v>June</v>
      </c>
      <c r="B272" s="10">
        <v>44742</v>
      </c>
      <c r="C272" s="1" t="s">
        <v>541</v>
      </c>
      <c r="D272" s="1" t="str">
        <f>UPPER(Table1[[#This Row],[NAME2]])</f>
        <v>AMBER YANCER</v>
      </c>
      <c r="E272" s="1" t="s">
        <v>542</v>
      </c>
      <c r="F272" s="1" t="s">
        <v>835</v>
      </c>
      <c r="G272" s="1" t="s">
        <v>21</v>
      </c>
      <c r="H272" s="1" t="s">
        <v>543</v>
      </c>
      <c r="I272" s="1" t="s">
        <v>15</v>
      </c>
      <c r="J272" s="9">
        <v>22</v>
      </c>
      <c r="K272" s="1" t="str">
        <f>IF(Table1[[#This Row],[AGE]]&lt;=18,"CHILD",IF(Table1[[#This Row],[AGE]]&lt;=20,"TEEN",IF(Table1[[#This Row],[AGE]]&lt;=40,"ADULT",IF(Table1[[#This Row],[AGE]]&lt;=60,"SENIOR CITIZEN","OLD CITIZEN"))))</f>
        <v>ADULT</v>
      </c>
      <c r="L272" s="1" t="s">
        <v>42</v>
      </c>
      <c r="M272" s="1" t="s">
        <v>25</v>
      </c>
      <c r="N272" s="13">
        <f>VLOOKUP(Table1[[#This Row],[TRANSACTION ID]],'Transaction ID Record'!$C$3:$D$510,2,FALSE)</f>
        <v>6237</v>
      </c>
    </row>
    <row r="273" spans="1:14" x14ac:dyDescent="0.35">
      <c r="A273" s="6" t="str">
        <f>TEXT(Table1[[#This Row],[DATE]],"MMMM")</f>
        <v>June</v>
      </c>
      <c r="B273" s="10">
        <v>44742</v>
      </c>
      <c r="C273" s="1" t="s">
        <v>544</v>
      </c>
      <c r="D273" s="1" t="str">
        <f>UPPER(Table1[[#This Row],[NAME2]])</f>
        <v>OLAYINKA HUMPHREY</v>
      </c>
      <c r="E273" s="1" t="s">
        <v>188</v>
      </c>
      <c r="F273" s="1" t="s">
        <v>189</v>
      </c>
      <c r="G273" s="1" t="s">
        <v>13</v>
      </c>
      <c r="H273" s="1" t="s">
        <v>190</v>
      </c>
      <c r="I273" s="1" t="s">
        <v>15</v>
      </c>
      <c r="J273" s="9">
        <v>60</v>
      </c>
      <c r="K273" s="1" t="str">
        <f>IF(Table1[[#This Row],[AGE]]&lt;=18,"CHILD",IF(Table1[[#This Row],[AGE]]&lt;=20,"TEEN",IF(Table1[[#This Row],[AGE]]&lt;=40,"ADULT",IF(Table1[[#This Row],[AGE]]&lt;=60,"SENIOR CITIZEN","OLD CITIZEN"))))</f>
        <v>SENIOR CITIZEN</v>
      </c>
      <c r="L273" s="1" t="s">
        <v>42</v>
      </c>
      <c r="M273" s="1" t="s">
        <v>47</v>
      </c>
      <c r="N273" s="13">
        <f>VLOOKUP(Table1[[#This Row],[TRANSACTION ID]],'Transaction ID Record'!$C$3:$D$510,2,FALSE)</f>
        <v>95891</v>
      </c>
    </row>
    <row r="274" spans="1:14" x14ac:dyDescent="0.35">
      <c r="A274" s="6" t="str">
        <f>TEXT(Table1[[#This Row],[DATE]],"MMMM")</f>
        <v>June</v>
      </c>
      <c r="B274" s="10">
        <v>44742</v>
      </c>
      <c r="C274" s="1" t="s">
        <v>545</v>
      </c>
      <c r="D274" s="1" t="str">
        <f>UPPER(Table1[[#This Row],[NAME2]])</f>
        <v>JOY CALLISTUS</v>
      </c>
      <c r="E274" s="1" t="s">
        <v>546</v>
      </c>
      <c r="F274" s="1" t="s">
        <v>547</v>
      </c>
      <c r="G274" s="1" t="s">
        <v>21</v>
      </c>
      <c r="H274" s="1" t="s">
        <v>548</v>
      </c>
      <c r="I274" s="1" t="s">
        <v>15</v>
      </c>
      <c r="J274" s="9">
        <v>36</v>
      </c>
      <c r="K274" s="1" t="str">
        <f>IF(Table1[[#This Row],[AGE]]&lt;=18,"CHILD",IF(Table1[[#This Row],[AGE]]&lt;=20,"TEEN",IF(Table1[[#This Row],[AGE]]&lt;=40,"ADULT",IF(Table1[[#This Row],[AGE]]&lt;=60,"SENIOR CITIZEN","OLD CITIZEN"))))</f>
        <v>ADULT</v>
      </c>
      <c r="L274" s="1" t="s">
        <v>66</v>
      </c>
      <c r="M274" s="1" t="s">
        <v>25</v>
      </c>
      <c r="N274" s="13">
        <f>VLOOKUP(Table1[[#This Row],[TRANSACTION ID]],'Transaction ID Record'!$C$3:$D$510,2,FALSE)</f>
        <v>172040</v>
      </c>
    </row>
    <row r="275" spans="1:14" x14ac:dyDescent="0.35">
      <c r="A275" s="6" t="str">
        <f>TEXT(Table1[[#This Row],[DATE]],"MMMM")</f>
        <v>July</v>
      </c>
      <c r="B275" s="10">
        <v>44743</v>
      </c>
      <c r="C275" s="1" t="s">
        <v>549</v>
      </c>
      <c r="D275" s="1" t="str">
        <f>UPPER(Table1[[#This Row],[NAME2]])</f>
        <v>BELL JUAREZ</v>
      </c>
      <c r="E275" s="1" t="s">
        <v>68</v>
      </c>
      <c r="F275" s="1" t="s">
        <v>801</v>
      </c>
      <c r="G275" s="1" t="s">
        <v>13</v>
      </c>
      <c r="H275" s="1" t="s">
        <v>69</v>
      </c>
      <c r="I275" s="1" t="s">
        <v>30</v>
      </c>
      <c r="J275" s="9">
        <v>71</v>
      </c>
      <c r="K275" s="1" t="str">
        <f>IF(Table1[[#This Row],[AGE]]&lt;=18,"CHILD",IF(Table1[[#This Row],[AGE]]&lt;=20,"TEEN",IF(Table1[[#This Row],[AGE]]&lt;=40,"ADULT",IF(Table1[[#This Row],[AGE]]&lt;=60,"SENIOR CITIZEN","OLD CITIZEN"))))</f>
        <v>OLD CITIZEN</v>
      </c>
      <c r="L275" s="1" t="s">
        <v>37</v>
      </c>
      <c r="M275" s="1" t="s">
        <v>47</v>
      </c>
      <c r="N275" s="13">
        <f>VLOOKUP(Table1[[#This Row],[TRANSACTION ID]],'Transaction ID Record'!$C$3:$D$510,2,FALSE)</f>
        <v>95070</v>
      </c>
    </row>
    <row r="276" spans="1:14" x14ac:dyDescent="0.35">
      <c r="A276" s="6" t="str">
        <f>TEXT(Table1[[#This Row],[DATE]],"MMMM")</f>
        <v>July</v>
      </c>
      <c r="B276" s="10">
        <v>44744</v>
      </c>
      <c r="C276" s="1" t="s">
        <v>550</v>
      </c>
      <c r="D276" s="1" t="str">
        <f>UPPER(Table1[[#This Row],[NAME2]])</f>
        <v>ODUMOSU MCCLURE</v>
      </c>
      <c r="E276" s="1" t="s">
        <v>63</v>
      </c>
      <c r="F276" s="1" t="s">
        <v>64</v>
      </c>
      <c r="G276" s="1" t="s">
        <v>13</v>
      </c>
      <c r="H276" s="1" t="s">
        <v>65</v>
      </c>
      <c r="I276" s="1" t="s">
        <v>15</v>
      </c>
      <c r="J276" s="9">
        <v>60</v>
      </c>
      <c r="K276" s="1" t="str">
        <f>IF(Table1[[#This Row],[AGE]]&lt;=18,"CHILD",IF(Table1[[#This Row],[AGE]]&lt;=20,"TEEN",IF(Table1[[#This Row],[AGE]]&lt;=40,"ADULT",IF(Table1[[#This Row],[AGE]]&lt;=60,"SENIOR CITIZEN","OLD CITIZEN"))))</f>
        <v>SENIOR CITIZEN</v>
      </c>
      <c r="L276" s="1" t="s">
        <v>66</v>
      </c>
      <c r="M276" s="1" t="s">
        <v>25</v>
      </c>
      <c r="N276" s="13">
        <f>VLOOKUP(Table1[[#This Row],[TRANSACTION ID]],'Transaction ID Record'!$C$3:$D$510,2,FALSE)</f>
        <v>127239</v>
      </c>
    </row>
    <row r="277" spans="1:14" x14ac:dyDescent="0.35">
      <c r="A277" s="6" t="str">
        <f>TEXT(Table1[[#This Row],[DATE]],"MMMM")</f>
        <v>July</v>
      </c>
      <c r="B277" s="10">
        <v>44745</v>
      </c>
      <c r="C277" s="1" t="s">
        <v>551</v>
      </c>
      <c r="D277" s="1" t="str">
        <f>UPPER(Table1[[#This Row],[NAME2]])</f>
        <v>AMBER YANCER</v>
      </c>
      <c r="E277" s="1" t="s">
        <v>542</v>
      </c>
      <c r="F277" s="1" t="s">
        <v>835</v>
      </c>
      <c r="G277" s="1" t="s">
        <v>21</v>
      </c>
      <c r="H277" s="1" t="s">
        <v>543</v>
      </c>
      <c r="I277" s="1" t="s">
        <v>15</v>
      </c>
      <c r="J277" s="9">
        <v>22</v>
      </c>
      <c r="K277" s="1" t="str">
        <f>IF(Table1[[#This Row],[AGE]]&lt;=18,"CHILD",IF(Table1[[#This Row],[AGE]]&lt;=20,"TEEN",IF(Table1[[#This Row],[AGE]]&lt;=40,"ADULT",IF(Table1[[#This Row],[AGE]]&lt;=60,"SENIOR CITIZEN","OLD CITIZEN"))))</f>
        <v>ADULT</v>
      </c>
      <c r="L277" s="1" t="s">
        <v>151</v>
      </c>
      <c r="M277" s="1" t="s">
        <v>47</v>
      </c>
      <c r="N277" s="13">
        <f>VLOOKUP(Table1[[#This Row],[TRANSACTION ID]],'Transaction ID Record'!$C$3:$D$510,2,FALSE)</f>
        <v>80370</v>
      </c>
    </row>
    <row r="278" spans="1:14" x14ac:dyDescent="0.35">
      <c r="A278" s="6" t="str">
        <f>TEXT(Table1[[#This Row],[DATE]],"MMMM")</f>
        <v>July</v>
      </c>
      <c r="B278" s="10">
        <v>44746</v>
      </c>
      <c r="C278" s="1" t="s">
        <v>552</v>
      </c>
      <c r="D278" s="1" t="str">
        <f>UPPER(Table1[[#This Row],[NAME2]])</f>
        <v>AKANTEYON KNOWLES</v>
      </c>
      <c r="E278" s="1" t="s">
        <v>335</v>
      </c>
      <c r="F278" s="1" t="s">
        <v>336</v>
      </c>
      <c r="G278" s="1" t="s">
        <v>13</v>
      </c>
      <c r="H278" s="1" t="s">
        <v>337</v>
      </c>
      <c r="I278" s="1" t="s">
        <v>30</v>
      </c>
      <c r="J278" s="9">
        <v>29</v>
      </c>
      <c r="K278" s="1" t="str">
        <f>IF(Table1[[#This Row],[AGE]]&lt;=18,"CHILD",IF(Table1[[#This Row],[AGE]]&lt;=20,"TEEN",IF(Table1[[#This Row],[AGE]]&lt;=40,"ADULT",IF(Table1[[#This Row],[AGE]]&lt;=60,"SENIOR CITIZEN","OLD CITIZEN"))))</f>
        <v>ADULT</v>
      </c>
      <c r="L278" s="1" t="s">
        <v>66</v>
      </c>
      <c r="M278" s="1" t="s">
        <v>61</v>
      </c>
      <c r="N278" s="13">
        <f>VLOOKUP(Table1[[#This Row],[TRANSACTION ID]],'Transaction ID Record'!$C$3:$D$510,2,FALSE)</f>
        <v>177379</v>
      </c>
    </row>
    <row r="279" spans="1:14" x14ac:dyDescent="0.35">
      <c r="A279" s="6" t="str">
        <f>TEXT(Table1[[#This Row],[DATE]],"MMMM")</f>
        <v>July</v>
      </c>
      <c r="B279" s="10">
        <v>44746</v>
      </c>
      <c r="C279" s="1" t="s">
        <v>553</v>
      </c>
      <c r="D279" s="1" t="str">
        <f>UPPER(Table1[[#This Row],[NAME2]])</f>
        <v>BAMIDELE ALEXANDER</v>
      </c>
      <c r="E279" s="1" t="s">
        <v>34</v>
      </c>
      <c r="F279" s="1" t="s">
        <v>35</v>
      </c>
      <c r="G279" s="1" t="s">
        <v>13</v>
      </c>
      <c r="H279" s="1" t="s">
        <v>36</v>
      </c>
      <c r="I279" s="1" t="s">
        <v>23</v>
      </c>
      <c r="J279" s="9">
        <v>61</v>
      </c>
      <c r="K279" s="1" t="str">
        <f>IF(Table1[[#This Row],[AGE]]&lt;=18,"CHILD",IF(Table1[[#This Row],[AGE]]&lt;=20,"TEEN",IF(Table1[[#This Row],[AGE]]&lt;=40,"ADULT",IF(Table1[[#This Row],[AGE]]&lt;=60,"SENIOR CITIZEN","OLD CITIZEN"))))</f>
        <v>OLD CITIZEN</v>
      </c>
      <c r="L279" s="1" t="s">
        <v>167</v>
      </c>
      <c r="M279" s="1" t="s">
        <v>47</v>
      </c>
      <c r="N279" s="13">
        <f>VLOOKUP(Table1[[#This Row],[TRANSACTION ID]],'Transaction ID Record'!$C$3:$D$510,2,FALSE)</f>
        <v>77667</v>
      </c>
    </row>
    <row r="280" spans="1:14" x14ac:dyDescent="0.35">
      <c r="A280" s="6" t="str">
        <f>TEXT(Table1[[#This Row],[DATE]],"MMMM")</f>
        <v>July</v>
      </c>
      <c r="B280" s="10">
        <v>44747</v>
      </c>
      <c r="C280" s="1" t="s">
        <v>554</v>
      </c>
      <c r="D280" s="1" t="str">
        <f>UPPER(Table1[[#This Row],[NAME2]])</f>
        <v>SAHEED THOMAS</v>
      </c>
      <c r="E280" s="1" t="s">
        <v>443</v>
      </c>
      <c r="F280" s="1" t="s">
        <v>830</v>
      </c>
      <c r="G280" s="1" t="s">
        <v>13</v>
      </c>
      <c r="H280" s="1" t="s">
        <v>444</v>
      </c>
      <c r="I280" s="1" t="s">
        <v>15</v>
      </c>
      <c r="J280" s="9">
        <v>28</v>
      </c>
      <c r="K280" s="1" t="str">
        <f>IF(Table1[[#This Row],[AGE]]&lt;=18,"CHILD",IF(Table1[[#This Row],[AGE]]&lt;=20,"TEEN",IF(Table1[[#This Row],[AGE]]&lt;=40,"ADULT",IF(Table1[[#This Row],[AGE]]&lt;=60,"SENIOR CITIZEN","OLD CITIZEN"))))</f>
        <v>ADULT</v>
      </c>
      <c r="L280" s="1" t="s">
        <v>66</v>
      </c>
      <c r="M280" s="1" t="s">
        <v>25</v>
      </c>
      <c r="N280" s="13">
        <f>VLOOKUP(Table1[[#This Row],[TRANSACTION ID]],'Transaction ID Record'!$C$3:$D$510,2,FALSE)</f>
        <v>155496</v>
      </c>
    </row>
    <row r="281" spans="1:14" x14ac:dyDescent="0.35">
      <c r="A281" s="6" t="str">
        <f>TEXT(Table1[[#This Row],[DATE]],"MMMM")</f>
        <v>July</v>
      </c>
      <c r="B281" s="10">
        <v>44752</v>
      </c>
      <c r="C281" s="1" t="s">
        <v>555</v>
      </c>
      <c r="D281" s="1" t="str">
        <f>UPPER(Table1[[#This Row],[NAME2]])</f>
        <v>DEACON COBB</v>
      </c>
      <c r="E281" s="1" t="s">
        <v>83</v>
      </c>
      <c r="F281" s="1" t="s">
        <v>803</v>
      </c>
      <c r="G281" s="1" t="s">
        <v>13</v>
      </c>
      <c r="H281" s="1" t="s">
        <v>84</v>
      </c>
      <c r="I281" s="1" t="s">
        <v>30</v>
      </c>
      <c r="J281" s="9">
        <v>30</v>
      </c>
      <c r="K281" s="1" t="str">
        <f>IF(Table1[[#This Row],[AGE]]&lt;=18,"CHILD",IF(Table1[[#This Row],[AGE]]&lt;=20,"TEEN",IF(Table1[[#This Row],[AGE]]&lt;=40,"ADULT",IF(Table1[[#This Row],[AGE]]&lt;=60,"SENIOR CITIZEN","OLD CITIZEN"))))</f>
        <v>ADULT</v>
      </c>
      <c r="L281" s="1" t="s">
        <v>66</v>
      </c>
      <c r="M281" s="1" t="s">
        <v>47</v>
      </c>
      <c r="N281" s="13">
        <f>VLOOKUP(Table1[[#This Row],[TRANSACTION ID]],'Transaction ID Record'!$C$3:$D$510,2,FALSE)</f>
        <v>55674</v>
      </c>
    </row>
    <row r="282" spans="1:14" x14ac:dyDescent="0.35">
      <c r="A282" s="6" t="str">
        <f>TEXT(Table1[[#This Row],[DATE]],"MMMM")</f>
        <v>July</v>
      </c>
      <c r="B282" s="10">
        <v>44752</v>
      </c>
      <c r="C282" s="1" t="s">
        <v>556</v>
      </c>
      <c r="D282" s="1" t="str">
        <f>UPPER(Table1[[#This Row],[NAME2]])</f>
        <v>AGEMO BARNES</v>
      </c>
      <c r="E282" s="1" t="s">
        <v>111</v>
      </c>
      <c r="F282" s="1" t="s">
        <v>112</v>
      </c>
      <c r="G282" s="1" t="s">
        <v>21</v>
      </c>
      <c r="H282" s="1" t="s">
        <v>113</v>
      </c>
      <c r="I282" s="1" t="s">
        <v>23</v>
      </c>
      <c r="J282" s="9">
        <v>58</v>
      </c>
      <c r="K282" s="1" t="str">
        <f>IF(Table1[[#This Row],[AGE]]&lt;=18,"CHILD",IF(Table1[[#This Row],[AGE]]&lt;=20,"TEEN",IF(Table1[[#This Row],[AGE]]&lt;=40,"ADULT",IF(Table1[[#This Row],[AGE]]&lt;=60,"SENIOR CITIZEN","OLD CITIZEN"))))</f>
        <v>SENIOR CITIZEN</v>
      </c>
      <c r="L282" s="1" t="s">
        <v>24</v>
      </c>
      <c r="M282" s="1" t="s">
        <v>25</v>
      </c>
      <c r="N282" s="13">
        <f>VLOOKUP(Table1[[#This Row],[TRANSACTION ID]],'Transaction ID Record'!$C$3:$D$510,2,FALSE)</f>
        <v>160115</v>
      </c>
    </row>
    <row r="283" spans="1:14" x14ac:dyDescent="0.35">
      <c r="A283" s="6" t="str">
        <f>TEXT(Table1[[#This Row],[DATE]],"MMMM")</f>
        <v>July</v>
      </c>
      <c r="B283" s="10">
        <v>44752</v>
      </c>
      <c r="C283" s="1" t="s">
        <v>557</v>
      </c>
      <c r="D283" s="1" t="str">
        <f>UPPER(Table1[[#This Row],[NAME2]])</f>
        <v>JAMES MCCARTY</v>
      </c>
      <c r="E283" s="1" t="s">
        <v>558</v>
      </c>
      <c r="F283" s="1" t="s">
        <v>559</v>
      </c>
      <c r="G283" s="1" t="s">
        <v>13</v>
      </c>
      <c r="H283" s="1" t="s">
        <v>560</v>
      </c>
      <c r="I283" s="1" t="s">
        <v>15</v>
      </c>
      <c r="J283" s="9">
        <v>76</v>
      </c>
      <c r="K283" s="1" t="str">
        <f>IF(Table1[[#This Row],[AGE]]&lt;=18,"CHILD",IF(Table1[[#This Row],[AGE]]&lt;=20,"TEEN",IF(Table1[[#This Row],[AGE]]&lt;=40,"ADULT",IF(Table1[[#This Row],[AGE]]&lt;=60,"SENIOR CITIZEN","OLD CITIZEN"))))</f>
        <v>OLD CITIZEN</v>
      </c>
      <c r="L283" s="1" t="s">
        <v>66</v>
      </c>
      <c r="M283" s="1" t="s">
        <v>32</v>
      </c>
      <c r="N283" s="13">
        <f>VLOOKUP(Table1[[#This Row],[TRANSACTION ID]],'Transaction ID Record'!$C$3:$D$510,2,FALSE)</f>
        <v>125796</v>
      </c>
    </row>
    <row r="284" spans="1:14" x14ac:dyDescent="0.35">
      <c r="A284" s="6" t="str">
        <f>TEXT(Table1[[#This Row],[DATE]],"MMMM")</f>
        <v>July</v>
      </c>
      <c r="B284" s="10">
        <v>44752</v>
      </c>
      <c r="C284" s="1" t="s">
        <v>561</v>
      </c>
      <c r="D284" s="1" t="str">
        <f>UPPER(Table1[[#This Row],[NAME2]])</f>
        <v>ISADORA JONES</v>
      </c>
      <c r="E284" s="1" t="s">
        <v>394</v>
      </c>
      <c r="F284" s="1" t="s">
        <v>395</v>
      </c>
      <c r="G284" s="1" t="s">
        <v>13</v>
      </c>
      <c r="H284" s="1" t="s">
        <v>396</v>
      </c>
      <c r="I284" s="1" t="s">
        <v>23</v>
      </c>
      <c r="J284" s="9">
        <v>24</v>
      </c>
      <c r="K284" s="1" t="str">
        <f>IF(Table1[[#This Row],[AGE]]&lt;=18,"CHILD",IF(Table1[[#This Row],[AGE]]&lt;=20,"TEEN",IF(Table1[[#This Row],[AGE]]&lt;=40,"ADULT",IF(Table1[[#This Row],[AGE]]&lt;=60,"SENIOR CITIZEN","OLD CITIZEN"))))</f>
        <v>ADULT</v>
      </c>
      <c r="L284" s="1" t="s">
        <v>151</v>
      </c>
      <c r="M284" s="1" t="s">
        <v>47</v>
      </c>
      <c r="N284" s="13">
        <f>VLOOKUP(Table1[[#This Row],[TRANSACTION ID]],'Transaction ID Record'!$C$3:$D$510,2,FALSE)</f>
        <v>155666</v>
      </c>
    </row>
    <row r="285" spans="1:14" x14ac:dyDescent="0.35">
      <c r="A285" s="6" t="str">
        <f>TEXT(Table1[[#This Row],[DATE]],"MMMM")</f>
        <v>July</v>
      </c>
      <c r="B285" s="10">
        <v>44754</v>
      </c>
      <c r="C285" s="1" t="s">
        <v>562</v>
      </c>
      <c r="D285" s="1" t="str">
        <f>UPPER(Table1[[#This Row],[NAME2]])</f>
        <v>OLAOGUN KIDD</v>
      </c>
      <c r="E285" s="1" t="s">
        <v>133</v>
      </c>
      <c r="F285" s="1" t="s">
        <v>134</v>
      </c>
      <c r="G285" s="1" t="s">
        <v>13</v>
      </c>
      <c r="H285" s="1" t="s">
        <v>135</v>
      </c>
      <c r="I285" s="1" t="s">
        <v>23</v>
      </c>
      <c r="J285" s="9">
        <v>68</v>
      </c>
      <c r="K285" s="1" t="str">
        <f>IF(Table1[[#This Row],[AGE]]&lt;=18,"CHILD",IF(Table1[[#This Row],[AGE]]&lt;=20,"TEEN",IF(Table1[[#This Row],[AGE]]&lt;=40,"ADULT",IF(Table1[[#This Row],[AGE]]&lt;=60,"SENIOR CITIZEN","OLD CITIZEN"))))</f>
        <v>OLD CITIZEN</v>
      </c>
      <c r="L285" s="1" t="s">
        <v>52</v>
      </c>
      <c r="M285" s="1" t="s">
        <v>17</v>
      </c>
      <c r="N285" s="13">
        <f>VLOOKUP(Table1[[#This Row],[TRANSACTION ID]],'Transaction ID Record'!$C$3:$D$510,2,FALSE)</f>
        <v>52347</v>
      </c>
    </row>
    <row r="286" spans="1:14" x14ac:dyDescent="0.35">
      <c r="A286" s="6" t="str">
        <f>TEXT(Table1[[#This Row],[DATE]],"MMMM")</f>
        <v>July</v>
      </c>
      <c r="B286" s="10">
        <v>44754</v>
      </c>
      <c r="C286" s="1" t="s">
        <v>563</v>
      </c>
      <c r="D286" s="1" t="str">
        <f>UPPER(Table1[[#This Row],[NAME2]])</f>
        <v>JELANI MCKINNEY</v>
      </c>
      <c r="E286" s="1" t="s">
        <v>241</v>
      </c>
      <c r="F286" s="1" t="s">
        <v>817</v>
      </c>
      <c r="G286" s="1" t="s">
        <v>21</v>
      </c>
      <c r="H286" s="1" t="s">
        <v>242</v>
      </c>
      <c r="I286" s="1" t="s">
        <v>30</v>
      </c>
      <c r="J286" s="9">
        <v>31</v>
      </c>
      <c r="K286" s="1" t="str">
        <f>IF(Table1[[#This Row],[AGE]]&lt;=18,"CHILD",IF(Table1[[#This Row],[AGE]]&lt;=20,"TEEN",IF(Table1[[#This Row],[AGE]]&lt;=40,"ADULT",IF(Table1[[#This Row],[AGE]]&lt;=60,"SENIOR CITIZEN","OLD CITIZEN"))))</f>
        <v>ADULT</v>
      </c>
      <c r="L286" s="1" t="s">
        <v>52</v>
      </c>
      <c r="M286" s="1" t="s">
        <v>25</v>
      </c>
      <c r="N286" s="13">
        <f>VLOOKUP(Table1[[#This Row],[TRANSACTION ID]],'Transaction ID Record'!$C$3:$D$510,2,FALSE)</f>
        <v>185237</v>
      </c>
    </row>
    <row r="287" spans="1:14" x14ac:dyDescent="0.35">
      <c r="A287" s="6" t="str">
        <f>TEXT(Table1[[#This Row],[DATE]],"MMMM")</f>
        <v>July</v>
      </c>
      <c r="B287" s="10">
        <v>44756</v>
      </c>
      <c r="C287" s="1" t="s">
        <v>564</v>
      </c>
      <c r="D287" s="1" t="str">
        <f>UPPER(Table1[[#This Row],[NAME2]])</f>
        <v>OMOLARA SELHORST</v>
      </c>
      <c r="E287" s="1" t="s">
        <v>173</v>
      </c>
      <c r="F287" s="1" t="s">
        <v>174</v>
      </c>
      <c r="G287" s="1" t="s">
        <v>21</v>
      </c>
      <c r="H287" s="1" t="s">
        <v>175</v>
      </c>
      <c r="I287" s="1" t="s">
        <v>15</v>
      </c>
      <c r="J287" s="9">
        <v>66</v>
      </c>
      <c r="K287" s="1" t="str">
        <f>IF(Table1[[#This Row],[AGE]]&lt;=18,"CHILD",IF(Table1[[#This Row],[AGE]]&lt;=20,"TEEN",IF(Table1[[#This Row],[AGE]]&lt;=40,"ADULT",IF(Table1[[#This Row],[AGE]]&lt;=60,"SENIOR CITIZEN","OLD CITIZEN"))))</f>
        <v>OLD CITIZEN</v>
      </c>
      <c r="L287" s="1" t="s">
        <v>151</v>
      </c>
      <c r="M287" s="1" t="s">
        <v>32</v>
      </c>
      <c r="N287" s="13">
        <f>VLOOKUP(Table1[[#This Row],[TRANSACTION ID]],'Transaction ID Record'!$C$3:$D$510,2,FALSE)</f>
        <v>147729</v>
      </c>
    </row>
    <row r="288" spans="1:14" x14ac:dyDescent="0.35">
      <c r="A288" s="6" t="str">
        <f>TEXT(Table1[[#This Row],[DATE]],"MMMM")</f>
        <v>July</v>
      </c>
      <c r="B288" s="10">
        <v>44756</v>
      </c>
      <c r="C288" s="1" t="s">
        <v>565</v>
      </c>
      <c r="D288" s="1" t="str">
        <f>UPPER(Table1[[#This Row],[NAME2]])</f>
        <v>JARED DENNIS</v>
      </c>
      <c r="E288" s="1" t="s">
        <v>388</v>
      </c>
      <c r="F288" s="1" t="s">
        <v>389</v>
      </c>
      <c r="G288" s="1" t="s">
        <v>13</v>
      </c>
      <c r="H288" s="1" t="s">
        <v>390</v>
      </c>
      <c r="I288" s="1" t="s">
        <v>23</v>
      </c>
      <c r="J288" s="9">
        <v>76</v>
      </c>
      <c r="K288" s="1" t="str">
        <f>IF(Table1[[#This Row],[AGE]]&lt;=18,"CHILD",IF(Table1[[#This Row],[AGE]]&lt;=20,"TEEN",IF(Table1[[#This Row],[AGE]]&lt;=40,"ADULT",IF(Table1[[#This Row],[AGE]]&lt;=60,"SENIOR CITIZEN","OLD CITIZEN"))))</f>
        <v>OLD CITIZEN</v>
      </c>
      <c r="L288" s="1" t="s">
        <v>16</v>
      </c>
      <c r="M288" s="1" t="s">
        <v>17</v>
      </c>
      <c r="N288" s="13">
        <f>VLOOKUP(Table1[[#This Row],[TRANSACTION ID]],'Transaction ID Record'!$C$3:$D$510,2,FALSE)</f>
        <v>154081</v>
      </c>
    </row>
    <row r="289" spans="1:14" x14ac:dyDescent="0.35">
      <c r="A289" s="6" t="str">
        <f>TEXT(Table1[[#This Row],[DATE]],"MMMM")</f>
        <v>July</v>
      </c>
      <c r="B289" s="10">
        <v>44757</v>
      </c>
      <c r="C289" s="1" t="s">
        <v>566</v>
      </c>
      <c r="D289" s="1" t="str">
        <f>UPPER(Table1[[#This Row],[NAME2]])</f>
        <v>SAWYER HERRIOT</v>
      </c>
      <c r="E289" s="1" t="s">
        <v>567</v>
      </c>
      <c r="F289" s="1" t="s">
        <v>568</v>
      </c>
      <c r="G289" s="1" t="s">
        <v>13</v>
      </c>
      <c r="H289" s="1" t="s">
        <v>569</v>
      </c>
      <c r="I289" s="1" t="s">
        <v>15</v>
      </c>
      <c r="J289" s="9">
        <v>34</v>
      </c>
      <c r="K289" s="1" t="str">
        <f>IF(Table1[[#This Row],[AGE]]&lt;=18,"CHILD",IF(Table1[[#This Row],[AGE]]&lt;=20,"TEEN",IF(Table1[[#This Row],[AGE]]&lt;=40,"ADULT",IF(Table1[[#This Row],[AGE]]&lt;=60,"SENIOR CITIZEN","OLD CITIZEN"))))</f>
        <v>ADULT</v>
      </c>
      <c r="L289" s="1" t="s">
        <v>16</v>
      </c>
      <c r="M289" s="1" t="s">
        <v>25</v>
      </c>
      <c r="N289" s="13">
        <f>VLOOKUP(Table1[[#This Row],[TRANSACTION ID]],'Transaction ID Record'!$C$3:$D$510,2,FALSE)</f>
        <v>42173</v>
      </c>
    </row>
    <row r="290" spans="1:14" x14ac:dyDescent="0.35">
      <c r="A290" s="6" t="str">
        <f>TEXT(Table1[[#This Row],[DATE]],"MMMM")</f>
        <v>July</v>
      </c>
      <c r="B290" s="10">
        <v>44758</v>
      </c>
      <c r="C290" s="1" t="s">
        <v>570</v>
      </c>
      <c r="D290" s="1" t="str">
        <f>UPPER(Table1[[#This Row],[NAME2]])</f>
        <v>KEHINDE BUSH</v>
      </c>
      <c r="E290" s="1" t="s">
        <v>427</v>
      </c>
      <c r="F290" s="1" t="s">
        <v>828</v>
      </c>
      <c r="G290" s="1" t="s">
        <v>21</v>
      </c>
      <c r="H290" s="1" t="s">
        <v>428</v>
      </c>
      <c r="I290" s="1" t="s">
        <v>15</v>
      </c>
      <c r="J290" s="9">
        <v>48</v>
      </c>
      <c r="K290" s="1" t="str">
        <f>IF(Table1[[#This Row],[AGE]]&lt;=18,"CHILD",IF(Table1[[#This Row],[AGE]]&lt;=20,"TEEN",IF(Table1[[#This Row],[AGE]]&lt;=40,"ADULT",IF(Table1[[#This Row],[AGE]]&lt;=60,"SENIOR CITIZEN","OLD CITIZEN"))))</f>
        <v>SENIOR CITIZEN</v>
      </c>
      <c r="L290" s="1" t="s">
        <v>31</v>
      </c>
      <c r="M290" s="1" t="s">
        <v>25</v>
      </c>
      <c r="N290" s="13">
        <f>VLOOKUP(Table1[[#This Row],[TRANSACTION ID]],'Transaction ID Record'!$C$3:$D$510,2,FALSE)</f>
        <v>83538</v>
      </c>
    </row>
    <row r="291" spans="1:14" x14ac:dyDescent="0.35">
      <c r="A291" s="6" t="str">
        <f>TEXT(Table1[[#This Row],[DATE]],"MMMM")</f>
        <v>July</v>
      </c>
      <c r="B291" s="10">
        <v>44759</v>
      </c>
      <c r="C291" s="1" t="s">
        <v>571</v>
      </c>
      <c r="D291" s="1" t="str">
        <f>UPPER(Table1[[#This Row],[NAME2]])</f>
        <v>TAIBAT DENNIS</v>
      </c>
      <c r="E291" s="1" t="s">
        <v>327</v>
      </c>
      <c r="F291" s="1" t="s">
        <v>328</v>
      </c>
      <c r="G291" s="1" t="s">
        <v>13</v>
      </c>
      <c r="H291" s="1" t="s">
        <v>329</v>
      </c>
      <c r="I291" s="1" t="s">
        <v>23</v>
      </c>
      <c r="J291" s="9">
        <v>37</v>
      </c>
      <c r="K291" s="1" t="str">
        <f>IF(Table1[[#This Row],[AGE]]&lt;=18,"CHILD",IF(Table1[[#This Row],[AGE]]&lt;=20,"TEEN",IF(Table1[[#This Row],[AGE]]&lt;=40,"ADULT",IF(Table1[[#This Row],[AGE]]&lt;=60,"SENIOR CITIZEN","OLD CITIZEN"))))</f>
        <v>ADULT</v>
      </c>
      <c r="L291" s="1" t="s">
        <v>151</v>
      </c>
      <c r="M291" s="1" t="s">
        <v>25</v>
      </c>
      <c r="N291" s="13">
        <f>VLOOKUP(Table1[[#This Row],[TRANSACTION ID]],'Transaction ID Record'!$C$3:$D$510,2,FALSE)</f>
        <v>97205</v>
      </c>
    </row>
    <row r="292" spans="1:14" x14ac:dyDescent="0.35">
      <c r="A292" s="6" t="str">
        <f>TEXT(Table1[[#This Row],[DATE]],"MMMM")</f>
        <v>July</v>
      </c>
      <c r="B292" s="10">
        <v>44759</v>
      </c>
      <c r="C292" s="1" t="s">
        <v>572</v>
      </c>
      <c r="D292" s="1" t="str">
        <f>UPPER(Table1[[#This Row],[NAME2]])</f>
        <v>ADENIYI TILLMAN</v>
      </c>
      <c r="E292" s="1" t="s">
        <v>178</v>
      </c>
      <c r="F292" s="1" t="s">
        <v>179</v>
      </c>
      <c r="G292" s="1" t="s">
        <v>13</v>
      </c>
      <c r="H292" s="1" t="s">
        <v>180</v>
      </c>
      <c r="I292" s="1" t="s">
        <v>30</v>
      </c>
      <c r="J292" s="9">
        <v>63</v>
      </c>
      <c r="K292" s="1" t="str">
        <f>IF(Table1[[#This Row],[AGE]]&lt;=18,"CHILD",IF(Table1[[#This Row],[AGE]]&lt;=20,"TEEN",IF(Table1[[#This Row],[AGE]]&lt;=40,"ADULT",IF(Table1[[#This Row],[AGE]]&lt;=60,"SENIOR CITIZEN","OLD CITIZEN"))))</f>
        <v>OLD CITIZEN</v>
      </c>
      <c r="L292" s="1" t="s">
        <v>52</v>
      </c>
      <c r="M292" s="1" t="s">
        <v>25</v>
      </c>
      <c r="N292" s="13">
        <f>VLOOKUP(Table1[[#This Row],[TRANSACTION ID]],'Transaction ID Record'!$C$3:$D$510,2,FALSE)</f>
        <v>61132</v>
      </c>
    </row>
    <row r="293" spans="1:14" x14ac:dyDescent="0.35">
      <c r="A293" s="6" t="str">
        <f>TEXT(Table1[[#This Row],[DATE]],"MMMM")</f>
        <v>July</v>
      </c>
      <c r="B293" s="10">
        <v>44760</v>
      </c>
      <c r="C293" s="1" t="s">
        <v>573</v>
      </c>
      <c r="D293" s="1" t="str">
        <f>UPPER(Table1[[#This Row],[NAME2]])</f>
        <v>HIROKO PANOVSKY</v>
      </c>
      <c r="E293" s="1" t="s">
        <v>100</v>
      </c>
      <c r="F293" s="1" t="s">
        <v>101</v>
      </c>
      <c r="G293" s="1" t="s">
        <v>13</v>
      </c>
      <c r="H293" s="1" t="s">
        <v>102</v>
      </c>
      <c r="I293" s="1" t="s">
        <v>15</v>
      </c>
      <c r="J293" s="9">
        <v>59</v>
      </c>
      <c r="K293" s="1" t="str">
        <f>IF(Table1[[#This Row],[AGE]]&lt;=18,"CHILD",IF(Table1[[#This Row],[AGE]]&lt;=20,"TEEN",IF(Table1[[#This Row],[AGE]]&lt;=40,"ADULT",IF(Table1[[#This Row],[AGE]]&lt;=60,"SENIOR CITIZEN","OLD CITIZEN"))))</f>
        <v>SENIOR CITIZEN</v>
      </c>
      <c r="L293" s="1" t="s">
        <v>37</v>
      </c>
      <c r="M293" s="1" t="s">
        <v>25</v>
      </c>
      <c r="N293" s="13">
        <f>VLOOKUP(Table1[[#This Row],[TRANSACTION ID]],'Transaction ID Record'!$C$3:$D$510,2,FALSE)</f>
        <v>174183</v>
      </c>
    </row>
    <row r="294" spans="1:14" x14ac:dyDescent="0.35">
      <c r="A294" s="6" t="str">
        <f>TEXT(Table1[[#This Row],[DATE]],"MMMM")</f>
        <v>July</v>
      </c>
      <c r="B294" s="10">
        <v>44762</v>
      </c>
      <c r="C294" s="1" t="s">
        <v>574</v>
      </c>
      <c r="D294" s="1" t="str">
        <f>UPPER(Table1[[#This Row],[NAME2]])</f>
        <v>BRITTANY BEST</v>
      </c>
      <c r="E294" s="1" t="s">
        <v>54</v>
      </c>
      <c r="F294" s="1" t="s">
        <v>55</v>
      </c>
      <c r="G294" s="1" t="s">
        <v>21</v>
      </c>
      <c r="H294" s="1" t="s">
        <v>56</v>
      </c>
      <c r="I294" s="1" t="s">
        <v>23</v>
      </c>
      <c r="J294" s="9">
        <v>28</v>
      </c>
      <c r="K294" s="1" t="str">
        <f>IF(Table1[[#This Row],[AGE]]&lt;=18,"CHILD",IF(Table1[[#This Row],[AGE]]&lt;=20,"TEEN",IF(Table1[[#This Row],[AGE]]&lt;=40,"ADULT",IF(Table1[[#This Row],[AGE]]&lt;=60,"SENIOR CITIZEN","OLD CITIZEN"))))</f>
        <v>ADULT</v>
      </c>
      <c r="L294" s="1" t="s">
        <v>42</v>
      </c>
      <c r="M294" s="1" t="s">
        <v>25</v>
      </c>
      <c r="N294" s="13">
        <f>VLOOKUP(Table1[[#This Row],[TRANSACTION ID]],'Transaction ID Record'!$C$3:$D$510,2,FALSE)</f>
        <v>72614</v>
      </c>
    </row>
    <row r="295" spans="1:14" x14ac:dyDescent="0.35">
      <c r="A295" s="6" t="str">
        <f>TEXT(Table1[[#This Row],[DATE]],"MMMM")</f>
        <v>July</v>
      </c>
      <c r="B295" s="10">
        <v>44762</v>
      </c>
      <c r="C295" s="1" t="s">
        <v>575</v>
      </c>
      <c r="D295" s="1" t="str">
        <f>UPPER(Table1[[#This Row],[NAME2]])</f>
        <v>BAMIDELE ALEXANDER</v>
      </c>
      <c r="E295" s="1" t="s">
        <v>34</v>
      </c>
      <c r="F295" s="1" t="s">
        <v>35</v>
      </c>
      <c r="G295" s="1" t="s">
        <v>13</v>
      </c>
      <c r="H295" s="1" t="s">
        <v>36</v>
      </c>
      <c r="I295" s="1" t="s">
        <v>23</v>
      </c>
      <c r="J295" s="9">
        <v>61</v>
      </c>
      <c r="K295" s="1" t="str">
        <f>IF(Table1[[#This Row],[AGE]]&lt;=18,"CHILD",IF(Table1[[#This Row],[AGE]]&lt;=20,"TEEN",IF(Table1[[#This Row],[AGE]]&lt;=40,"ADULT",IF(Table1[[#This Row],[AGE]]&lt;=60,"SENIOR CITIZEN","OLD CITIZEN"))))</f>
        <v>OLD CITIZEN</v>
      </c>
      <c r="L295" s="1" t="s">
        <v>42</v>
      </c>
      <c r="M295" s="1" t="s">
        <v>25</v>
      </c>
      <c r="N295" s="13">
        <f>VLOOKUP(Table1[[#This Row],[TRANSACTION ID]],'Transaction ID Record'!$C$3:$D$510,2,FALSE)</f>
        <v>17146</v>
      </c>
    </row>
    <row r="296" spans="1:14" x14ac:dyDescent="0.35">
      <c r="A296" s="6" t="str">
        <f>TEXT(Table1[[#This Row],[DATE]],"MMMM")</f>
        <v>July</v>
      </c>
      <c r="B296" s="10">
        <v>44762</v>
      </c>
      <c r="C296" s="1" t="s">
        <v>576</v>
      </c>
      <c r="D296" s="1" t="str">
        <f>UPPER(Table1[[#This Row],[NAME2]])</f>
        <v>ADENIYI MCCONNELL</v>
      </c>
      <c r="E296" s="1" t="s">
        <v>398</v>
      </c>
      <c r="F296" s="1" t="s">
        <v>827</v>
      </c>
      <c r="G296" s="1" t="s">
        <v>21</v>
      </c>
      <c r="H296" s="1" t="s">
        <v>399</v>
      </c>
      <c r="I296" s="1" t="s">
        <v>15</v>
      </c>
      <c r="J296" s="9">
        <v>32</v>
      </c>
      <c r="K296" s="1" t="str">
        <f>IF(Table1[[#This Row],[AGE]]&lt;=18,"CHILD",IF(Table1[[#This Row],[AGE]]&lt;=20,"TEEN",IF(Table1[[#This Row],[AGE]]&lt;=40,"ADULT",IF(Table1[[#This Row],[AGE]]&lt;=60,"SENIOR CITIZEN","OLD CITIZEN"))))</f>
        <v>ADULT</v>
      </c>
      <c r="L296" s="1" t="s">
        <v>57</v>
      </c>
      <c r="M296" s="1" t="s">
        <v>32</v>
      </c>
      <c r="N296" s="13">
        <f>VLOOKUP(Table1[[#This Row],[TRANSACTION ID]],'Transaction ID Record'!$C$3:$D$510,2,FALSE)</f>
        <v>60558</v>
      </c>
    </row>
    <row r="297" spans="1:14" x14ac:dyDescent="0.35">
      <c r="A297" s="6" t="str">
        <f>TEXT(Table1[[#This Row],[DATE]],"MMMM")</f>
        <v>July</v>
      </c>
      <c r="B297" s="10">
        <v>44764</v>
      </c>
      <c r="C297" s="1" t="s">
        <v>577</v>
      </c>
      <c r="D297" s="1" t="str">
        <f>UPPER(Table1[[#This Row],[NAME2]])</f>
        <v>IVORY SELHORST</v>
      </c>
      <c r="E297" s="1" t="s">
        <v>71</v>
      </c>
      <c r="F297" s="1" t="s">
        <v>802</v>
      </c>
      <c r="G297" s="1" t="s">
        <v>21</v>
      </c>
      <c r="H297" s="1" t="s">
        <v>72</v>
      </c>
      <c r="I297" s="1" t="s">
        <v>23</v>
      </c>
      <c r="J297" s="9">
        <v>54</v>
      </c>
      <c r="K297" s="1" t="str">
        <f>IF(Table1[[#This Row],[AGE]]&lt;=18,"CHILD",IF(Table1[[#This Row],[AGE]]&lt;=20,"TEEN",IF(Table1[[#This Row],[AGE]]&lt;=40,"ADULT",IF(Table1[[#This Row],[AGE]]&lt;=60,"SENIOR CITIZEN","OLD CITIZEN"))))</f>
        <v>SENIOR CITIZEN</v>
      </c>
      <c r="L297" s="1" t="s">
        <v>57</v>
      </c>
      <c r="M297" s="1" t="s">
        <v>61</v>
      </c>
      <c r="N297" s="13">
        <f>VLOOKUP(Table1[[#This Row],[TRANSACTION ID]],'Transaction ID Record'!$C$3:$D$510,2,FALSE)</f>
        <v>135386</v>
      </c>
    </row>
    <row r="298" spans="1:14" x14ac:dyDescent="0.35">
      <c r="A298" s="6" t="str">
        <f>TEXT(Table1[[#This Row],[DATE]],"MMMM")</f>
        <v>July</v>
      </c>
      <c r="B298" s="10">
        <v>44765</v>
      </c>
      <c r="C298" s="1" t="s">
        <v>578</v>
      </c>
      <c r="D298" s="1" t="str">
        <f>UPPER(Table1[[#This Row],[NAME2]])</f>
        <v>DESIRAE SPENCER</v>
      </c>
      <c r="E298" s="1" t="s">
        <v>488</v>
      </c>
      <c r="F298" s="1" t="s">
        <v>833</v>
      </c>
      <c r="G298" s="1" t="s">
        <v>13</v>
      </c>
      <c r="H298" s="1" t="s">
        <v>489</v>
      </c>
      <c r="I298" s="1" t="s">
        <v>15</v>
      </c>
      <c r="J298" s="9">
        <v>59</v>
      </c>
      <c r="K298" s="1" t="str">
        <f>IF(Table1[[#This Row],[AGE]]&lt;=18,"CHILD",IF(Table1[[#This Row],[AGE]]&lt;=20,"TEEN",IF(Table1[[#This Row],[AGE]]&lt;=40,"ADULT",IF(Table1[[#This Row],[AGE]]&lt;=60,"SENIOR CITIZEN","OLD CITIZEN"))))</f>
        <v>SENIOR CITIZEN</v>
      </c>
      <c r="L298" s="1" t="s">
        <v>167</v>
      </c>
      <c r="M298" s="1" t="s">
        <v>61</v>
      </c>
      <c r="N298" s="13">
        <f>VLOOKUP(Table1[[#This Row],[TRANSACTION ID]],'Transaction ID Record'!$C$3:$D$510,2,FALSE)</f>
        <v>75482</v>
      </c>
    </row>
    <row r="299" spans="1:14" x14ac:dyDescent="0.35">
      <c r="A299" s="6" t="str">
        <f>TEXT(Table1[[#This Row],[DATE]],"MMMM")</f>
        <v>July</v>
      </c>
      <c r="B299" s="10">
        <v>44766</v>
      </c>
      <c r="C299" s="1" t="s">
        <v>579</v>
      </c>
      <c r="D299" s="1" t="str">
        <f>UPPER(Table1[[#This Row],[NAME2]])</f>
        <v>DESIRAE SPENCER</v>
      </c>
      <c r="E299" s="1" t="s">
        <v>488</v>
      </c>
      <c r="F299" s="1" t="s">
        <v>833</v>
      </c>
      <c r="G299" s="1" t="s">
        <v>13</v>
      </c>
      <c r="H299" s="1" t="s">
        <v>489</v>
      </c>
      <c r="I299" s="1" t="s">
        <v>15</v>
      </c>
      <c r="J299" s="9">
        <v>59</v>
      </c>
      <c r="K299" s="1" t="str">
        <f>IF(Table1[[#This Row],[AGE]]&lt;=18,"CHILD",IF(Table1[[#This Row],[AGE]]&lt;=20,"TEEN",IF(Table1[[#This Row],[AGE]]&lt;=40,"ADULT",IF(Table1[[#This Row],[AGE]]&lt;=60,"SENIOR CITIZEN","OLD CITIZEN"))))</f>
        <v>SENIOR CITIZEN</v>
      </c>
      <c r="L299" s="1" t="s">
        <v>52</v>
      </c>
      <c r="M299" s="1" t="s">
        <v>25</v>
      </c>
      <c r="N299" s="13">
        <f>VLOOKUP(Table1[[#This Row],[TRANSACTION ID]],'Transaction ID Record'!$C$3:$D$510,2,FALSE)</f>
        <v>176107</v>
      </c>
    </row>
    <row r="300" spans="1:14" x14ac:dyDescent="0.35">
      <c r="A300" s="6" t="str">
        <f>TEXT(Table1[[#This Row],[DATE]],"MMMM")</f>
        <v>July</v>
      </c>
      <c r="B300" s="10">
        <v>44767</v>
      </c>
      <c r="C300" s="1" t="s">
        <v>580</v>
      </c>
      <c r="D300" s="1" t="str">
        <f>UPPER(Table1[[#This Row],[NAME2]])</f>
        <v>KEATON JIMENEZ</v>
      </c>
      <c r="E300" s="1" t="s">
        <v>250</v>
      </c>
      <c r="F300" s="1" t="s">
        <v>251</v>
      </c>
      <c r="G300" s="1" t="s">
        <v>21</v>
      </c>
      <c r="H300" s="1" t="s">
        <v>252</v>
      </c>
      <c r="I300" s="1" t="s">
        <v>15</v>
      </c>
      <c r="J300" s="9">
        <v>35</v>
      </c>
      <c r="K300" s="1" t="str">
        <f>IF(Table1[[#This Row],[AGE]]&lt;=18,"CHILD",IF(Table1[[#This Row],[AGE]]&lt;=20,"TEEN",IF(Table1[[#This Row],[AGE]]&lt;=40,"ADULT",IF(Table1[[#This Row],[AGE]]&lt;=60,"SENIOR CITIZEN","OLD CITIZEN"))))</f>
        <v>ADULT</v>
      </c>
      <c r="L300" s="1" t="s">
        <v>57</v>
      </c>
      <c r="M300" s="1" t="s">
        <v>32</v>
      </c>
      <c r="N300" s="13">
        <f>VLOOKUP(Table1[[#This Row],[TRANSACTION ID]],'Transaction ID Record'!$C$3:$D$510,2,FALSE)</f>
        <v>30550</v>
      </c>
    </row>
    <row r="301" spans="1:14" x14ac:dyDescent="0.35">
      <c r="A301" s="6" t="str">
        <f>TEXT(Table1[[#This Row],[DATE]],"MMMM")</f>
        <v>July</v>
      </c>
      <c r="B301" s="10">
        <v>44767</v>
      </c>
      <c r="C301" s="1" t="s">
        <v>581</v>
      </c>
      <c r="D301" s="1" t="str">
        <f>UPPER(Table1[[#This Row],[NAME2]])</f>
        <v>RHONA MITCHELL</v>
      </c>
      <c r="E301" s="1" t="s">
        <v>19</v>
      </c>
      <c r="F301" s="1" t="s">
        <v>20</v>
      </c>
      <c r="G301" s="1" t="s">
        <v>21</v>
      </c>
      <c r="H301" s="1" t="s">
        <v>22</v>
      </c>
      <c r="I301" s="1" t="s">
        <v>23</v>
      </c>
      <c r="J301" s="9">
        <v>72</v>
      </c>
      <c r="K301" s="1" t="str">
        <f>IF(Table1[[#This Row],[AGE]]&lt;=18,"CHILD",IF(Table1[[#This Row],[AGE]]&lt;=20,"TEEN",IF(Table1[[#This Row],[AGE]]&lt;=40,"ADULT",IF(Table1[[#This Row],[AGE]]&lt;=60,"SENIOR CITIZEN","OLD CITIZEN"))))</f>
        <v>OLD CITIZEN</v>
      </c>
      <c r="L301" s="1" t="s">
        <v>16</v>
      </c>
      <c r="M301" s="1" t="s">
        <v>25</v>
      </c>
      <c r="N301" s="13">
        <f>VLOOKUP(Table1[[#This Row],[TRANSACTION ID]],'Transaction ID Record'!$C$3:$D$510,2,FALSE)</f>
        <v>132792</v>
      </c>
    </row>
    <row r="302" spans="1:14" x14ac:dyDescent="0.35">
      <c r="A302" s="6" t="str">
        <f>TEXT(Table1[[#This Row],[DATE]],"MMMM")</f>
        <v>July</v>
      </c>
      <c r="B302" s="10">
        <v>44767</v>
      </c>
      <c r="C302" s="1" t="s">
        <v>582</v>
      </c>
      <c r="D302" s="1" t="str">
        <f>UPPER(Table1[[#This Row],[NAME2]])</f>
        <v>ADEBOLA SOLIS</v>
      </c>
      <c r="E302" s="1" t="s">
        <v>244</v>
      </c>
      <c r="F302" s="1" t="s">
        <v>245</v>
      </c>
      <c r="G302" s="1" t="s">
        <v>21</v>
      </c>
      <c r="H302" s="1" t="s">
        <v>246</v>
      </c>
      <c r="I302" s="1" t="s">
        <v>15</v>
      </c>
      <c r="J302" s="9">
        <v>29</v>
      </c>
      <c r="K302" s="1" t="str">
        <f>IF(Table1[[#This Row],[AGE]]&lt;=18,"CHILD",IF(Table1[[#This Row],[AGE]]&lt;=20,"TEEN",IF(Table1[[#This Row],[AGE]]&lt;=40,"ADULT",IF(Table1[[#This Row],[AGE]]&lt;=60,"SENIOR CITIZEN","OLD CITIZEN"))))</f>
        <v>ADULT</v>
      </c>
      <c r="L302" s="1" t="s">
        <v>42</v>
      </c>
      <c r="M302" s="1" t="s">
        <v>47</v>
      </c>
      <c r="N302" s="13">
        <f>VLOOKUP(Table1[[#This Row],[TRANSACTION ID]],'Transaction ID Record'!$C$3:$D$510,2,FALSE)</f>
        <v>125335</v>
      </c>
    </row>
    <row r="303" spans="1:14" x14ac:dyDescent="0.35">
      <c r="A303" s="6" t="str">
        <f>TEXT(Table1[[#This Row],[DATE]],"MMMM")</f>
        <v>July</v>
      </c>
      <c r="B303" s="10">
        <v>44769</v>
      </c>
      <c r="C303" s="1" t="s">
        <v>583</v>
      </c>
      <c r="D303" s="1" t="str">
        <f>UPPER(Table1[[#This Row],[NAME2]])</f>
        <v>BRETT FERNANDEZ</v>
      </c>
      <c r="E303" s="1" t="s">
        <v>295</v>
      </c>
      <c r="F303" s="1" t="s">
        <v>296</v>
      </c>
      <c r="G303" s="1" t="s">
        <v>13</v>
      </c>
      <c r="H303" s="1" t="s">
        <v>297</v>
      </c>
      <c r="I303" s="1" t="s">
        <v>23</v>
      </c>
      <c r="J303" s="9">
        <v>47</v>
      </c>
      <c r="K303" s="1" t="str">
        <f>IF(Table1[[#This Row],[AGE]]&lt;=18,"CHILD",IF(Table1[[#This Row],[AGE]]&lt;=20,"TEEN",IF(Table1[[#This Row],[AGE]]&lt;=40,"ADULT",IF(Table1[[#This Row],[AGE]]&lt;=60,"SENIOR CITIZEN","OLD CITIZEN"))))</f>
        <v>SENIOR CITIZEN</v>
      </c>
      <c r="L303" s="1" t="s">
        <v>42</v>
      </c>
      <c r="M303" s="1" t="s">
        <v>25</v>
      </c>
      <c r="N303" s="13">
        <f>VLOOKUP(Table1[[#This Row],[TRANSACTION ID]],'Transaction ID Record'!$C$3:$D$510,2,FALSE)</f>
        <v>55809</v>
      </c>
    </row>
    <row r="304" spans="1:14" x14ac:dyDescent="0.35">
      <c r="A304" s="6" t="str">
        <f>TEXT(Table1[[#This Row],[DATE]],"MMMM")</f>
        <v>July</v>
      </c>
      <c r="B304" s="10">
        <v>44771</v>
      </c>
      <c r="C304" s="1" t="s">
        <v>584</v>
      </c>
      <c r="D304" s="1" t="str">
        <f>UPPER(Table1[[#This Row],[NAME2]])</f>
        <v>ELEANOR DUANE</v>
      </c>
      <c r="E304" s="1" t="s">
        <v>375</v>
      </c>
      <c r="F304" s="1" t="s">
        <v>376</v>
      </c>
      <c r="G304" s="1" t="s">
        <v>13</v>
      </c>
      <c r="H304" s="1" t="s">
        <v>377</v>
      </c>
      <c r="I304" s="1" t="s">
        <v>15</v>
      </c>
      <c r="J304" s="9">
        <v>35</v>
      </c>
      <c r="K304" s="1" t="str">
        <f>IF(Table1[[#This Row],[AGE]]&lt;=18,"CHILD",IF(Table1[[#This Row],[AGE]]&lt;=20,"TEEN",IF(Table1[[#This Row],[AGE]]&lt;=40,"ADULT",IF(Table1[[#This Row],[AGE]]&lt;=60,"SENIOR CITIZEN","OLD CITIZEN"))))</f>
        <v>ADULT</v>
      </c>
      <c r="L304" s="1" t="s">
        <v>37</v>
      </c>
      <c r="M304" s="1" t="s">
        <v>47</v>
      </c>
      <c r="N304" s="13">
        <f>VLOOKUP(Table1[[#This Row],[TRANSACTION ID]],'Transaction ID Record'!$C$3:$D$510,2,FALSE)</f>
        <v>119415</v>
      </c>
    </row>
    <row r="305" spans="1:14" x14ac:dyDescent="0.35">
      <c r="A305" s="6" t="str">
        <f>TEXT(Table1[[#This Row],[DATE]],"MMMM")</f>
        <v>July</v>
      </c>
      <c r="B305" s="10">
        <v>44771</v>
      </c>
      <c r="C305" s="1" t="s">
        <v>585</v>
      </c>
      <c r="D305" s="1" t="str">
        <f>UPPER(Table1[[#This Row],[NAME2]])</f>
        <v>EBUKA MERCER</v>
      </c>
      <c r="E305" s="1" t="s">
        <v>482</v>
      </c>
      <c r="F305" s="1" t="s">
        <v>483</v>
      </c>
      <c r="G305" s="1" t="s">
        <v>21</v>
      </c>
      <c r="H305" s="1" t="s">
        <v>484</v>
      </c>
      <c r="I305" s="1" t="s">
        <v>15</v>
      </c>
      <c r="J305" s="9">
        <v>24</v>
      </c>
      <c r="K305" s="1" t="str">
        <f>IF(Table1[[#This Row],[AGE]]&lt;=18,"CHILD",IF(Table1[[#This Row],[AGE]]&lt;=20,"TEEN",IF(Table1[[#This Row],[AGE]]&lt;=40,"ADULT",IF(Table1[[#This Row],[AGE]]&lt;=60,"SENIOR CITIZEN","OLD CITIZEN"))))</f>
        <v>ADULT</v>
      </c>
      <c r="L305" s="1" t="s">
        <v>57</v>
      </c>
      <c r="M305" s="1" t="s">
        <v>47</v>
      </c>
      <c r="N305" s="13">
        <f>VLOOKUP(Table1[[#This Row],[TRANSACTION ID]],'Transaction ID Record'!$C$3:$D$510,2,FALSE)</f>
        <v>178678</v>
      </c>
    </row>
    <row r="306" spans="1:14" x14ac:dyDescent="0.35">
      <c r="A306" s="6" t="str">
        <f>TEXT(Table1[[#This Row],[DATE]],"MMMM")</f>
        <v>July</v>
      </c>
      <c r="B306" s="10">
        <v>44771</v>
      </c>
      <c r="C306" s="1" t="s">
        <v>586</v>
      </c>
      <c r="D306" s="1" t="str">
        <f>UPPER(Table1[[#This Row],[NAME2]])</f>
        <v>ODUMOSU MCCLURE</v>
      </c>
      <c r="E306" s="1" t="s">
        <v>63</v>
      </c>
      <c r="F306" s="1" t="s">
        <v>64</v>
      </c>
      <c r="G306" s="1" t="s">
        <v>13</v>
      </c>
      <c r="H306" s="1" t="s">
        <v>65</v>
      </c>
      <c r="I306" s="1" t="s">
        <v>15</v>
      </c>
      <c r="J306" s="9">
        <v>60</v>
      </c>
      <c r="K306" s="1" t="str">
        <f>IF(Table1[[#This Row],[AGE]]&lt;=18,"CHILD",IF(Table1[[#This Row],[AGE]]&lt;=20,"TEEN",IF(Table1[[#This Row],[AGE]]&lt;=40,"ADULT",IF(Table1[[#This Row],[AGE]]&lt;=60,"SENIOR CITIZEN","OLD CITIZEN"))))</f>
        <v>SENIOR CITIZEN</v>
      </c>
      <c r="L306" s="1" t="s">
        <v>42</v>
      </c>
      <c r="M306" s="1" t="s">
        <v>25</v>
      </c>
      <c r="N306" s="13">
        <f>VLOOKUP(Table1[[#This Row],[TRANSACTION ID]],'Transaction ID Record'!$C$3:$D$510,2,FALSE)</f>
        <v>110194</v>
      </c>
    </row>
    <row r="307" spans="1:14" x14ac:dyDescent="0.35">
      <c r="A307" s="6" t="str">
        <f>TEXT(Table1[[#This Row],[DATE]],"MMMM")</f>
        <v>July</v>
      </c>
      <c r="B307" s="10">
        <v>44772</v>
      </c>
      <c r="C307" s="1" t="s">
        <v>587</v>
      </c>
      <c r="D307" s="1" t="str">
        <f>UPPER(Table1[[#This Row],[NAME2]])</f>
        <v>ATHENA MACDONALD</v>
      </c>
      <c r="E307" s="1" t="s">
        <v>169</v>
      </c>
      <c r="F307" s="1" t="s">
        <v>170</v>
      </c>
      <c r="G307" s="1" t="s">
        <v>13</v>
      </c>
      <c r="H307" s="1" t="s">
        <v>171</v>
      </c>
      <c r="I307" s="1" t="s">
        <v>30</v>
      </c>
      <c r="J307" s="9">
        <v>29</v>
      </c>
      <c r="K307" s="1" t="str">
        <f>IF(Table1[[#This Row],[AGE]]&lt;=18,"CHILD",IF(Table1[[#This Row],[AGE]]&lt;=20,"TEEN",IF(Table1[[#This Row],[AGE]]&lt;=40,"ADULT",IF(Table1[[#This Row],[AGE]]&lt;=60,"SENIOR CITIZEN","OLD CITIZEN"))))</f>
        <v>ADULT</v>
      </c>
      <c r="L307" s="1" t="s">
        <v>167</v>
      </c>
      <c r="M307" s="1" t="s">
        <v>25</v>
      </c>
      <c r="N307" s="13">
        <f>VLOOKUP(Table1[[#This Row],[TRANSACTION ID]],'Transaction ID Record'!$C$3:$D$510,2,FALSE)</f>
        <v>167389</v>
      </c>
    </row>
    <row r="308" spans="1:14" x14ac:dyDescent="0.35">
      <c r="A308" s="6" t="str">
        <f>TEXT(Table1[[#This Row],[DATE]],"MMMM")</f>
        <v>July</v>
      </c>
      <c r="B308" s="10">
        <v>44772</v>
      </c>
      <c r="C308" s="1" t="s">
        <v>588</v>
      </c>
      <c r="D308" s="1" t="str">
        <f>UPPER(Table1[[#This Row],[NAME2]])</f>
        <v>LESLY PORTER</v>
      </c>
      <c r="E308" s="1" t="s">
        <v>223</v>
      </c>
      <c r="F308" s="1" t="s">
        <v>224</v>
      </c>
      <c r="G308" s="1" t="s">
        <v>21</v>
      </c>
      <c r="H308" s="1" t="s">
        <v>225</v>
      </c>
      <c r="I308" s="1" t="s">
        <v>30</v>
      </c>
      <c r="J308" s="9">
        <v>68</v>
      </c>
      <c r="K308" s="1" t="str">
        <f>IF(Table1[[#This Row],[AGE]]&lt;=18,"CHILD",IF(Table1[[#This Row],[AGE]]&lt;=20,"TEEN",IF(Table1[[#This Row],[AGE]]&lt;=40,"ADULT",IF(Table1[[#This Row],[AGE]]&lt;=60,"SENIOR CITIZEN","OLD CITIZEN"))))</f>
        <v>OLD CITIZEN</v>
      </c>
      <c r="L308" s="1" t="s">
        <v>24</v>
      </c>
      <c r="M308" s="1" t="s">
        <v>47</v>
      </c>
      <c r="N308" s="13">
        <f>VLOOKUP(Table1[[#This Row],[TRANSACTION ID]],'Transaction ID Record'!$C$3:$D$510,2,FALSE)</f>
        <v>168014</v>
      </c>
    </row>
    <row r="309" spans="1:14" x14ac:dyDescent="0.35">
      <c r="A309" s="6" t="str">
        <f>TEXT(Table1[[#This Row],[DATE]],"MMMM")</f>
        <v>July</v>
      </c>
      <c r="B309" s="10">
        <v>44772</v>
      </c>
      <c r="C309" s="1" t="s">
        <v>589</v>
      </c>
      <c r="D309" s="1" t="str">
        <f>UPPER(Table1[[#This Row],[NAME2]])</f>
        <v>NYSSA WALTON</v>
      </c>
      <c r="E309" s="1" t="s">
        <v>590</v>
      </c>
      <c r="F309" s="1" t="s">
        <v>591</v>
      </c>
      <c r="G309" s="1" t="s">
        <v>13</v>
      </c>
      <c r="H309" s="1" t="s">
        <v>592</v>
      </c>
      <c r="I309" s="1" t="s">
        <v>30</v>
      </c>
      <c r="J309" s="9">
        <v>44</v>
      </c>
      <c r="K309" s="1" t="str">
        <f>IF(Table1[[#This Row],[AGE]]&lt;=18,"CHILD",IF(Table1[[#This Row],[AGE]]&lt;=20,"TEEN",IF(Table1[[#This Row],[AGE]]&lt;=40,"ADULT",IF(Table1[[#This Row],[AGE]]&lt;=60,"SENIOR CITIZEN","OLD CITIZEN"))))</f>
        <v>SENIOR CITIZEN</v>
      </c>
      <c r="L309" s="1" t="s">
        <v>57</v>
      </c>
      <c r="M309" s="1" t="s">
        <v>32</v>
      </c>
      <c r="N309" s="13">
        <f>VLOOKUP(Table1[[#This Row],[TRANSACTION ID]],'Transaction ID Record'!$C$3:$D$510,2,FALSE)</f>
        <v>43851</v>
      </c>
    </row>
    <row r="310" spans="1:14" x14ac:dyDescent="0.35">
      <c r="A310" s="6" t="str">
        <f>TEXT(Table1[[#This Row],[DATE]],"MMMM")</f>
        <v>August</v>
      </c>
      <c r="B310" s="10">
        <v>44774</v>
      </c>
      <c r="C310" s="1" t="s">
        <v>593</v>
      </c>
      <c r="D310" s="1" t="str">
        <f>UPPER(Table1[[#This Row],[NAME2]])</f>
        <v>EMERSON PANOVSKY</v>
      </c>
      <c r="E310" s="1" t="s">
        <v>75</v>
      </c>
      <c r="F310" s="1" t="s">
        <v>76</v>
      </c>
      <c r="G310" s="1" t="s">
        <v>21</v>
      </c>
      <c r="H310" s="1" t="s">
        <v>77</v>
      </c>
      <c r="I310" s="1" t="s">
        <v>30</v>
      </c>
      <c r="J310" s="9">
        <v>19</v>
      </c>
      <c r="K310" s="1" t="str">
        <f>IF(Table1[[#This Row],[AGE]]&lt;=18,"CHILD",IF(Table1[[#This Row],[AGE]]&lt;=20,"TEEN",IF(Table1[[#This Row],[AGE]]&lt;=40,"ADULT",IF(Table1[[#This Row],[AGE]]&lt;=60,"SENIOR CITIZEN","OLD CITIZEN"))))</f>
        <v>TEEN</v>
      </c>
      <c r="L310" s="1" t="s">
        <v>66</v>
      </c>
      <c r="M310" s="1" t="s">
        <v>61</v>
      </c>
      <c r="N310" s="13">
        <f>VLOOKUP(Table1[[#This Row],[TRANSACTION ID]],'Transaction ID Record'!$C$3:$D$510,2,FALSE)</f>
        <v>34297</v>
      </c>
    </row>
    <row r="311" spans="1:14" x14ac:dyDescent="0.35">
      <c r="A311" s="6" t="str">
        <f>TEXT(Table1[[#This Row],[DATE]],"MMMM")</f>
        <v>August</v>
      </c>
      <c r="B311" s="10">
        <v>44775</v>
      </c>
      <c r="C311" s="1" t="s">
        <v>594</v>
      </c>
      <c r="D311" s="1" t="str">
        <f>UPPER(Table1[[#This Row],[NAME2]])</f>
        <v>HIROKO PANOVSKY</v>
      </c>
      <c r="E311" s="1" t="s">
        <v>100</v>
      </c>
      <c r="F311" s="1" t="s">
        <v>101</v>
      </c>
      <c r="G311" s="1" t="s">
        <v>13</v>
      </c>
      <c r="H311" s="1" t="s">
        <v>102</v>
      </c>
      <c r="I311" s="1" t="s">
        <v>15</v>
      </c>
      <c r="J311" s="9">
        <v>59</v>
      </c>
      <c r="K311" s="1" t="str">
        <f>IF(Table1[[#This Row],[AGE]]&lt;=18,"CHILD",IF(Table1[[#This Row],[AGE]]&lt;=20,"TEEN",IF(Table1[[#This Row],[AGE]]&lt;=40,"ADULT",IF(Table1[[#This Row],[AGE]]&lt;=60,"SENIOR CITIZEN","OLD CITIZEN"))))</f>
        <v>SENIOR CITIZEN</v>
      </c>
      <c r="L311" s="1" t="s">
        <v>66</v>
      </c>
      <c r="M311" s="1" t="s">
        <v>47</v>
      </c>
      <c r="N311" s="13">
        <f>VLOOKUP(Table1[[#This Row],[TRANSACTION ID]],'Transaction ID Record'!$C$3:$D$510,2,FALSE)</f>
        <v>146416</v>
      </c>
    </row>
    <row r="312" spans="1:14" x14ac:dyDescent="0.35">
      <c r="A312" s="6" t="str">
        <f>TEXT(Table1[[#This Row],[DATE]],"MMMM")</f>
        <v>August</v>
      </c>
      <c r="B312" s="10">
        <v>44775</v>
      </c>
      <c r="C312" s="1" t="s">
        <v>595</v>
      </c>
      <c r="D312" s="1" t="str">
        <f>UPPER(Table1[[#This Row],[NAME2]])</f>
        <v>SMALL ORR</v>
      </c>
      <c r="E312" s="1" t="s">
        <v>281</v>
      </c>
      <c r="F312" s="1" t="s">
        <v>282</v>
      </c>
      <c r="G312" s="1" t="s">
        <v>21</v>
      </c>
      <c r="H312" s="1" t="s">
        <v>283</v>
      </c>
      <c r="I312" s="1" t="s">
        <v>30</v>
      </c>
      <c r="J312" s="9">
        <v>40</v>
      </c>
      <c r="K312" s="1" t="str">
        <f>IF(Table1[[#This Row],[AGE]]&lt;=18,"CHILD",IF(Table1[[#This Row],[AGE]]&lt;=20,"TEEN",IF(Table1[[#This Row],[AGE]]&lt;=40,"ADULT",IF(Table1[[#This Row],[AGE]]&lt;=60,"SENIOR CITIZEN","OLD CITIZEN"))))</f>
        <v>ADULT</v>
      </c>
      <c r="L312" s="1" t="s">
        <v>31</v>
      </c>
      <c r="M312" s="1" t="s">
        <v>25</v>
      </c>
      <c r="N312" s="13">
        <f>VLOOKUP(Table1[[#This Row],[TRANSACTION ID]],'Transaction ID Record'!$C$3:$D$510,2,FALSE)</f>
        <v>145620</v>
      </c>
    </row>
    <row r="313" spans="1:14" x14ac:dyDescent="0.35">
      <c r="A313" s="6" t="str">
        <f>TEXT(Table1[[#This Row],[DATE]],"MMMM")</f>
        <v>August</v>
      </c>
      <c r="B313" s="10">
        <v>44775</v>
      </c>
      <c r="C313" s="1" t="s">
        <v>596</v>
      </c>
      <c r="D313" s="1" t="str">
        <f>UPPER(Table1[[#This Row],[NAME2]])</f>
        <v>AYO WISE</v>
      </c>
      <c r="E313" s="1" t="s">
        <v>476</v>
      </c>
      <c r="F313" s="1" t="s">
        <v>832</v>
      </c>
      <c r="G313" s="1" t="s">
        <v>13</v>
      </c>
      <c r="H313" s="1" t="s">
        <v>477</v>
      </c>
      <c r="I313" s="1" t="s">
        <v>15</v>
      </c>
      <c r="J313" s="9">
        <v>64</v>
      </c>
      <c r="K313" s="1" t="str">
        <f>IF(Table1[[#This Row],[AGE]]&lt;=18,"CHILD",IF(Table1[[#This Row],[AGE]]&lt;=20,"TEEN",IF(Table1[[#This Row],[AGE]]&lt;=40,"ADULT",IF(Table1[[#This Row],[AGE]]&lt;=60,"SENIOR CITIZEN","OLD CITIZEN"))))</f>
        <v>OLD CITIZEN</v>
      </c>
      <c r="L313" s="1" t="s">
        <v>66</v>
      </c>
      <c r="M313" s="1" t="s">
        <v>25</v>
      </c>
      <c r="N313" s="13">
        <f>VLOOKUP(Table1[[#This Row],[TRANSACTION ID]],'Transaction ID Record'!$C$3:$D$510,2,FALSE)</f>
        <v>163717</v>
      </c>
    </row>
    <row r="314" spans="1:14" x14ac:dyDescent="0.35">
      <c r="A314" s="6" t="str">
        <f>TEXT(Table1[[#This Row],[DATE]],"MMMM")</f>
        <v>August</v>
      </c>
      <c r="B314" s="10">
        <v>44775</v>
      </c>
      <c r="C314" s="1" t="s">
        <v>597</v>
      </c>
      <c r="D314" s="1" t="str">
        <f>UPPER(Table1[[#This Row],[NAME2]])</f>
        <v>ADEBOLA EZICHI</v>
      </c>
      <c r="E314" s="1" t="s">
        <v>137</v>
      </c>
      <c r="F314" s="1" t="s">
        <v>138</v>
      </c>
      <c r="G314" s="1" t="s">
        <v>21</v>
      </c>
      <c r="H314" s="1" t="s">
        <v>139</v>
      </c>
      <c r="I314" s="1" t="s">
        <v>15</v>
      </c>
      <c r="J314" s="9">
        <v>37</v>
      </c>
      <c r="K314" s="1" t="str">
        <f>IF(Table1[[#This Row],[AGE]]&lt;=18,"CHILD",IF(Table1[[#This Row],[AGE]]&lt;=20,"TEEN",IF(Table1[[#This Row],[AGE]]&lt;=40,"ADULT",IF(Table1[[#This Row],[AGE]]&lt;=60,"SENIOR CITIZEN","OLD CITIZEN"))))</f>
        <v>ADULT</v>
      </c>
      <c r="L314" s="1" t="s">
        <v>42</v>
      </c>
      <c r="M314" s="1" t="s">
        <v>32</v>
      </c>
      <c r="N314" s="13">
        <f>VLOOKUP(Table1[[#This Row],[TRANSACTION ID]],'Transaction ID Record'!$C$3:$D$510,2,FALSE)</f>
        <v>115552</v>
      </c>
    </row>
    <row r="315" spans="1:14" x14ac:dyDescent="0.35">
      <c r="A315" s="6" t="str">
        <f>TEXT(Table1[[#This Row],[DATE]],"MMMM")</f>
        <v>August</v>
      </c>
      <c r="B315" s="10">
        <v>44776</v>
      </c>
      <c r="C315" s="1" t="s">
        <v>598</v>
      </c>
      <c r="D315" s="1" t="str">
        <f>UPPER(Table1[[#This Row],[NAME2]])</f>
        <v>OKEDIRAN MITCHELL</v>
      </c>
      <c r="E315" s="1" t="s">
        <v>314</v>
      </c>
      <c r="F315" s="1" t="s">
        <v>315</v>
      </c>
      <c r="G315" s="1" t="s">
        <v>21</v>
      </c>
      <c r="H315" s="1" t="s">
        <v>316</v>
      </c>
      <c r="I315" s="1" t="s">
        <v>23</v>
      </c>
      <c r="J315" s="9">
        <v>28</v>
      </c>
      <c r="K315" s="1" t="str">
        <f>IF(Table1[[#This Row],[AGE]]&lt;=18,"CHILD",IF(Table1[[#This Row],[AGE]]&lt;=20,"TEEN",IF(Table1[[#This Row],[AGE]]&lt;=40,"ADULT",IF(Table1[[#This Row],[AGE]]&lt;=60,"SENIOR CITIZEN","OLD CITIZEN"))))</f>
        <v>ADULT</v>
      </c>
      <c r="L315" s="1" t="s">
        <v>37</v>
      </c>
      <c r="M315" s="1" t="s">
        <v>25</v>
      </c>
      <c r="N315" s="13">
        <f>VLOOKUP(Table1[[#This Row],[TRANSACTION ID]],'Transaction ID Record'!$C$3:$D$510,2,FALSE)</f>
        <v>184568</v>
      </c>
    </row>
    <row r="316" spans="1:14" x14ac:dyDescent="0.35">
      <c r="A316" s="6" t="str">
        <f>TEXT(Table1[[#This Row],[DATE]],"MMMM")</f>
        <v>August</v>
      </c>
      <c r="B316" s="10">
        <v>44778</v>
      </c>
      <c r="C316" s="1" t="s">
        <v>599</v>
      </c>
      <c r="D316" s="1" t="str">
        <f>UPPER(Table1[[#This Row],[NAME2]])</f>
        <v>AKANTEYON KNOWLES</v>
      </c>
      <c r="E316" s="1" t="s">
        <v>335</v>
      </c>
      <c r="F316" s="1" t="s">
        <v>336</v>
      </c>
      <c r="G316" s="1" t="s">
        <v>13</v>
      </c>
      <c r="H316" s="1" t="s">
        <v>337</v>
      </c>
      <c r="I316" s="1" t="s">
        <v>30</v>
      </c>
      <c r="J316" s="9">
        <v>29</v>
      </c>
      <c r="K316" s="1" t="str">
        <f>IF(Table1[[#This Row],[AGE]]&lt;=18,"CHILD",IF(Table1[[#This Row],[AGE]]&lt;=20,"TEEN",IF(Table1[[#This Row],[AGE]]&lt;=40,"ADULT",IF(Table1[[#This Row],[AGE]]&lt;=60,"SENIOR CITIZEN","OLD CITIZEN"))))</f>
        <v>ADULT</v>
      </c>
      <c r="L316" s="1" t="s">
        <v>52</v>
      </c>
      <c r="M316" s="1" t="s">
        <v>25</v>
      </c>
      <c r="N316" s="13">
        <f>VLOOKUP(Table1[[#This Row],[TRANSACTION ID]],'Transaction ID Record'!$C$3:$D$510,2,FALSE)</f>
        <v>12136</v>
      </c>
    </row>
    <row r="317" spans="1:14" x14ac:dyDescent="0.35">
      <c r="A317" s="6" t="str">
        <f>TEXT(Table1[[#This Row],[DATE]],"MMMM")</f>
        <v>August</v>
      </c>
      <c r="B317" s="10">
        <v>44778</v>
      </c>
      <c r="C317" s="1" t="s">
        <v>600</v>
      </c>
      <c r="D317" s="1" t="str">
        <f>UPPER(Table1[[#This Row],[NAME2]])</f>
        <v>LATIFAH OGBONNA</v>
      </c>
      <c r="E317" s="1" t="s">
        <v>145</v>
      </c>
      <c r="F317" s="1" t="s">
        <v>146</v>
      </c>
      <c r="G317" s="1" t="s">
        <v>13</v>
      </c>
      <c r="H317" s="1" t="s">
        <v>147</v>
      </c>
      <c r="I317" s="1" t="s">
        <v>23</v>
      </c>
      <c r="J317" s="9">
        <v>46</v>
      </c>
      <c r="K317" s="1" t="str">
        <f>IF(Table1[[#This Row],[AGE]]&lt;=18,"CHILD",IF(Table1[[#This Row],[AGE]]&lt;=20,"TEEN",IF(Table1[[#This Row],[AGE]]&lt;=40,"ADULT",IF(Table1[[#This Row],[AGE]]&lt;=60,"SENIOR CITIZEN","OLD CITIZEN"))))</f>
        <v>SENIOR CITIZEN</v>
      </c>
      <c r="L317" s="1" t="s">
        <v>16</v>
      </c>
      <c r="M317" s="1" t="s">
        <v>25</v>
      </c>
      <c r="N317" s="13">
        <f>VLOOKUP(Table1[[#This Row],[TRANSACTION ID]],'Transaction ID Record'!$C$3:$D$510,2,FALSE)</f>
        <v>83048</v>
      </c>
    </row>
    <row r="318" spans="1:14" x14ac:dyDescent="0.35">
      <c r="A318" s="6" t="str">
        <f>TEXT(Table1[[#This Row],[DATE]],"MMMM")</f>
        <v>August</v>
      </c>
      <c r="B318" s="10">
        <v>44780</v>
      </c>
      <c r="C318" s="1" t="s">
        <v>601</v>
      </c>
      <c r="D318" s="1" t="str">
        <f>UPPER(Table1[[#This Row],[NAME2]])</f>
        <v>LAEL CARTER</v>
      </c>
      <c r="E318" s="1" t="s">
        <v>430</v>
      </c>
      <c r="F318" s="1" t="s">
        <v>829</v>
      </c>
      <c r="G318" s="1" t="s">
        <v>21</v>
      </c>
      <c r="H318" s="1" t="s">
        <v>431</v>
      </c>
      <c r="I318" s="1" t="s">
        <v>15</v>
      </c>
      <c r="J318" s="9">
        <v>26</v>
      </c>
      <c r="K318" s="1" t="str">
        <f>IF(Table1[[#This Row],[AGE]]&lt;=18,"CHILD",IF(Table1[[#This Row],[AGE]]&lt;=20,"TEEN",IF(Table1[[#This Row],[AGE]]&lt;=40,"ADULT",IF(Table1[[#This Row],[AGE]]&lt;=60,"SENIOR CITIZEN","OLD CITIZEN"))))</f>
        <v>ADULT</v>
      </c>
      <c r="L318" s="1" t="s">
        <v>24</v>
      </c>
      <c r="M318" s="1" t="s">
        <v>25</v>
      </c>
      <c r="N318" s="13">
        <f>VLOOKUP(Table1[[#This Row],[TRANSACTION ID]],'Transaction ID Record'!$C$3:$D$510,2,FALSE)</f>
        <v>173125</v>
      </c>
    </row>
    <row r="319" spans="1:14" x14ac:dyDescent="0.35">
      <c r="A319" s="6" t="str">
        <f>TEXT(Table1[[#This Row],[DATE]],"MMMM")</f>
        <v>August</v>
      </c>
      <c r="B319" s="10">
        <v>44782</v>
      </c>
      <c r="C319" s="1" t="s">
        <v>602</v>
      </c>
      <c r="D319" s="1" t="str">
        <f>UPPER(Table1[[#This Row],[NAME2]])</f>
        <v>ADENIYI WEAVER</v>
      </c>
      <c r="E319" s="1" t="s">
        <v>196</v>
      </c>
      <c r="F319" s="1" t="s">
        <v>197</v>
      </c>
      <c r="G319" s="1" t="s">
        <v>13</v>
      </c>
      <c r="H319" s="1" t="s">
        <v>198</v>
      </c>
      <c r="I319" s="1" t="s">
        <v>30</v>
      </c>
      <c r="J319" s="9">
        <v>39</v>
      </c>
      <c r="K319" s="1" t="str">
        <f>IF(Table1[[#This Row],[AGE]]&lt;=18,"CHILD",IF(Table1[[#This Row],[AGE]]&lt;=20,"TEEN",IF(Table1[[#This Row],[AGE]]&lt;=40,"ADULT",IF(Table1[[#This Row],[AGE]]&lt;=60,"SENIOR CITIZEN","OLD CITIZEN"))))</f>
        <v>ADULT</v>
      </c>
      <c r="L319" s="1" t="s">
        <v>66</v>
      </c>
      <c r="M319" s="1" t="s">
        <v>25</v>
      </c>
      <c r="N319" s="13">
        <f>VLOOKUP(Table1[[#This Row],[TRANSACTION ID]],'Transaction ID Record'!$C$3:$D$510,2,FALSE)</f>
        <v>150154</v>
      </c>
    </row>
    <row r="320" spans="1:14" x14ac:dyDescent="0.35">
      <c r="A320" s="6" t="str">
        <f>TEXT(Table1[[#This Row],[DATE]],"MMMM")</f>
        <v>August</v>
      </c>
      <c r="B320" s="10">
        <v>44783</v>
      </c>
      <c r="C320" s="1" t="s">
        <v>603</v>
      </c>
      <c r="D320" s="1" t="str">
        <f>UPPER(Table1[[#This Row],[NAME2]])</f>
        <v>NELL YANCER</v>
      </c>
      <c r="E320" s="1" t="s">
        <v>214</v>
      </c>
      <c r="F320" s="1" t="s">
        <v>215</v>
      </c>
      <c r="G320" s="1" t="s">
        <v>21</v>
      </c>
      <c r="H320" s="1" t="s">
        <v>216</v>
      </c>
      <c r="I320" s="1" t="s">
        <v>30</v>
      </c>
      <c r="J320" s="9">
        <v>29</v>
      </c>
      <c r="K320" s="1" t="str">
        <f>IF(Table1[[#This Row],[AGE]]&lt;=18,"CHILD",IF(Table1[[#This Row],[AGE]]&lt;=20,"TEEN",IF(Table1[[#This Row],[AGE]]&lt;=40,"ADULT",IF(Table1[[#This Row],[AGE]]&lt;=60,"SENIOR CITIZEN","OLD CITIZEN"))))</f>
        <v>ADULT</v>
      </c>
      <c r="L320" s="1" t="s">
        <v>57</v>
      </c>
      <c r="M320" s="1" t="s">
        <v>61</v>
      </c>
      <c r="N320" s="13">
        <f>VLOOKUP(Table1[[#This Row],[TRANSACTION ID]],'Transaction ID Record'!$C$3:$D$510,2,FALSE)</f>
        <v>135463</v>
      </c>
    </row>
    <row r="321" spans="1:14" x14ac:dyDescent="0.35">
      <c r="A321" s="6" t="str">
        <f>TEXT(Table1[[#This Row],[DATE]],"MMMM")</f>
        <v>August</v>
      </c>
      <c r="B321" s="10">
        <v>44783</v>
      </c>
      <c r="C321" s="1" t="s">
        <v>604</v>
      </c>
      <c r="D321" s="1" t="str">
        <f>UPPER(Table1[[#This Row],[NAME2]])</f>
        <v>AGEMO BARNES</v>
      </c>
      <c r="E321" s="1" t="s">
        <v>111</v>
      </c>
      <c r="F321" s="1" t="s">
        <v>112</v>
      </c>
      <c r="G321" s="1" t="s">
        <v>21</v>
      </c>
      <c r="H321" s="1" t="s">
        <v>113</v>
      </c>
      <c r="I321" s="1" t="s">
        <v>23</v>
      </c>
      <c r="J321" s="9">
        <v>58</v>
      </c>
      <c r="K321" s="1" t="str">
        <f>IF(Table1[[#This Row],[AGE]]&lt;=18,"CHILD",IF(Table1[[#This Row],[AGE]]&lt;=20,"TEEN",IF(Table1[[#This Row],[AGE]]&lt;=40,"ADULT",IF(Table1[[#This Row],[AGE]]&lt;=60,"SENIOR CITIZEN","OLD CITIZEN"))))</f>
        <v>SENIOR CITIZEN</v>
      </c>
      <c r="L321" s="1" t="s">
        <v>151</v>
      </c>
      <c r="M321" s="1" t="s">
        <v>17</v>
      </c>
      <c r="N321" s="13">
        <f>VLOOKUP(Table1[[#This Row],[TRANSACTION ID]],'Transaction ID Record'!$C$3:$D$510,2,FALSE)</f>
        <v>113871</v>
      </c>
    </row>
    <row r="322" spans="1:14" x14ac:dyDescent="0.35">
      <c r="A322" s="6" t="str">
        <f>TEXT(Table1[[#This Row],[DATE]],"MMMM")</f>
        <v>August</v>
      </c>
      <c r="B322" s="10">
        <v>44784</v>
      </c>
      <c r="C322" s="1" t="s">
        <v>605</v>
      </c>
      <c r="D322" s="1" t="str">
        <f>UPPER(Table1[[#This Row],[NAME2]])</f>
        <v>BAMIDELE ALEXANDER</v>
      </c>
      <c r="E322" s="1" t="s">
        <v>34</v>
      </c>
      <c r="F322" s="1" t="s">
        <v>35</v>
      </c>
      <c r="G322" s="1" t="s">
        <v>13</v>
      </c>
      <c r="H322" s="1" t="s">
        <v>36</v>
      </c>
      <c r="I322" s="1" t="s">
        <v>23</v>
      </c>
      <c r="J322" s="9">
        <v>61</v>
      </c>
      <c r="K322" s="1" t="str">
        <f>IF(Table1[[#This Row],[AGE]]&lt;=18,"CHILD",IF(Table1[[#This Row],[AGE]]&lt;=20,"TEEN",IF(Table1[[#This Row],[AGE]]&lt;=40,"ADULT",IF(Table1[[#This Row],[AGE]]&lt;=60,"SENIOR CITIZEN","OLD CITIZEN"))))</f>
        <v>OLD CITIZEN</v>
      </c>
      <c r="L322" s="1" t="s">
        <v>37</v>
      </c>
      <c r="M322" s="1" t="s">
        <v>25</v>
      </c>
      <c r="N322" s="13">
        <f>VLOOKUP(Table1[[#This Row],[TRANSACTION ID]],'Transaction ID Record'!$C$3:$D$510,2,FALSE)</f>
        <v>52402</v>
      </c>
    </row>
    <row r="323" spans="1:14" x14ac:dyDescent="0.35">
      <c r="A323" s="6" t="str">
        <f>TEXT(Table1[[#This Row],[DATE]],"MMMM")</f>
        <v>August</v>
      </c>
      <c r="B323" s="10">
        <v>44784</v>
      </c>
      <c r="C323" s="1" t="s">
        <v>606</v>
      </c>
      <c r="D323" s="1" t="str">
        <f>UPPER(Table1[[#This Row],[NAME2]])</f>
        <v>BAMIDELE ALEXANDER</v>
      </c>
      <c r="E323" s="1" t="s">
        <v>34</v>
      </c>
      <c r="F323" s="1" t="s">
        <v>35</v>
      </c>
      <c r="G323" s="1" t="s">
        <v>13</v>
      </c>
      <c r="H323" s="1" t="s">
        <v>36</v>
      </c>
      <c r="I323" s="1" t="s">
        <v>23</v>
      </c>
      <c r="J323" s="9">
        <v>61</v>
      </c>
      <c r="K323" s="1" t="str">
        <f>IF(Table1[[#This Row],[AGE]]&lt;=18,"CHILD",IF(Table1[[#This Row],[AGE]]&lt;=20,"TEEN",IF(Table1[[#This Row],[AGE]]&lt;=40,"ADULT",IF(Table1[[#This Row],[AGE]]&lt;=60,"SENIOR CITIZEN","OLD CITIZEN"))))</f>
        <v>OLD CITIZEN</v>
      </c>
      <c r="L323" s="1" t="s">
        <v>57</v>
      </c>
      <c r="M323" s="1" t="s">
        <v>32</v>
      </c>
      <c r="N323" s="13">
        <f>VLOOKUP(Table1[[#This Row],[TRANSACTION ID]],'Transaction ID Record'!$C$3:$D$510,2,FALSE)</f>
        <v>163819</v>
      </c>
    </row>
    <row r="324" spans="1:14" x14ac:dyDescent="0.35">
      <c r="A324" s="6" t="str">
        <f>TEXT(Table1[[#This Row],[DATE]],"MMMM")</f>
        <v>August</v>
      </c>
      <c r="B324" s="10">
        <v>44784</v>
      </c>
      <c r="C324" s="1" t="s">
        <v>607</v>
      </c>
      <c r="D324" s="1" t="str">
        <f>UPPER(Table1[[#This Row],[NAME2]])</f>
        <v>ADENIYI TILLMAN</v>
      </c>
      <c r="E324" s="1" t="s">
        <v>178</v>
      </c>
      <c r="F324" s="1" t="s">
        <v>179</v>
      </c>
      <c r="G324" s="1" t="s">
        <v>13</v>
      </c>
      <c r="H324" s="1" t="s">
        <v>180</v>
      </c>
      <c r="I324" s="1" t="s">
        <v>30</v>
      </c>
      <c r="J324" s="9">
        <v>63</v>
      </c>
      <c r="K324" s="1" t="str">
        <f>IF(Table1[[#This Row],[AGE]]&lt;=18,"CHILD",IF(Table1[[#This Row],[AGE]]&lt;=20,"TEEN",IF(Table1[[#This Row],[AGE]]&lt;=40,"ADULT",IF(Table1[[#This Row],[AGE]]&lt;=60,"SENIOR CITIZEN","OLD CITIZEN"))))</f>
        <v>OLD CITIZEN</v>
      </c>
      <c r="L324" s="1" t="s">
        <v>52</v>
      </c>
      <c r="M324" s="1" t="s">
        <v>47</v>
      </c>
      <c r="N324" s="13">
        <f>VLOOKUP(Table1[[#This Row],[TRANSACTION ID]],'Transaction ID Record'!$C$3:$D$510,2,FALSE)</f>
        <v>186986</v>
      </c>
    </row>
    <row r="325" spans="1:14" x14ac:dyDescent="0.35">
      <c r="A325" s="6" t="str">
        <f>TEXT(Table1[[#This Row],[DATE]],"MMMM")</f>
        <v>August</v>
      </c>
      <c r="B325" s="10">
        <v>44784</v>
      </c>
      <c r="C325" s="1" t="s">
        <v>608</v>
      </c>
      <c r="D325" s="1" t="str">
        <f>UPPER(Table1[[#This Row],[NAME2]])</f>
        <v>ODUMOSU DUKE</v>
      </c>
      <c r="E325" s="1" t="s">
        <v>59</v>
      </c>
      <c r="F325" s="1" t="s">
        <v>800</v>
      </c>
      <c r="G325" s="1" t="s">
        <v>13</v>
      </c>
      <c r="H325" s="1" t="s">
        <v>60</v>
      </c>
      <c r="I325" s="1" t="s">
        <v>15</v>
      </c>
      <c r="J325" s="9">
        <v>48</v>
      </c>
      <c r="K325" s="1" t="str">
        <f>IF(Table1[[#This Row],[AGE]]&lt;=18,"CHILD",IF(Table1[[#This Row],[AGE]]&lt;=20,"TEEN",IF(Table1[[#This Row],[AGE]]&lt;=40,"ADULT",IF(Table1[[#This Row],[AGE]]&lt;=60,"SENIOR CITIZEN","OLD CITIZEN"))))</f>
        <v>SENIOR CITIZEN</v>
      </c>
      <c r="L325" s="1" t="s">
        <v>37</v>
      </c>
      <c r="M325" s="1" t="s">
        <v>17</v>
      </c>
      <c r="N325" s="13">
        <f>VLOOKUP(Table1[[#This Row],[TRANSACTION ID]],'Transaction ID Record'!$C$3:$D$510,2,FALSE)</f>
        <v>42632</v>
      </c>
    </row>
    <row r="326" spans="1:14" x14ac:dyDescent="0.35">
      <c r="A326" s="6" t="str">
        <f>TEXT(Table1[[#This Row],[DATE]],"MMMM")</f>
        <v>August</v>
      </c>
      <c r="B326" s="10">
        <v>44784</v>
      </c>
      <c r="C326" s="1" t="s">
        <v>609</v>
      </c>
      <c r="D326" s="1" t="str">
        <f>UPPER(Table1[[#This Row],[NAME2]])</f>
        <v>ADENIYI WEAVER</v>
      </c>
      <c r="E326" s="1" t="s">
        <v>196</v>
      </c>
      <c r="F326" s="1" t="s">
        <v>197</v>
      </c>
      <c r="G326" s="1" t="s">
        <v>13</v>
      </c>
      <c r="H326" s="1" t="s">
        <v>198</v>
      </c>
      <c r="I326" s="1" t="s">
        <v>30</v>
      </c>
      <c r="J326" s="9">
        <v>39</v>
      </c>
      <c r="K326" s="1" t="str">
        <f>IF(Table1[[#This Row],[AGE]]&lt;=18,"CHILD",IF(Table1[[#This Row],[AGE]]&lt;=20,"TEEN",IF(Table1[[#This Row],[AGE]]&lt;=40,"ADULT",IF(Table1[[#This Row],[AGE]]&lt;=60,"SENIOR CITIZEN","OLD CITIZEN"))))</f>
        <v>ADULT</v>
      </c>
      <c r="L326" s="1" t="s">
        <v>31</v>
      </c>
      <c r="M326" s="1" t="s">
        <v>61</v>
      </c>
      <c r="N326" s="13">
        <f>VLOOKUP(Table1[[#This Row],[TRANSACTION ID]],'Transaction ID Record'!$C$3:$D$510,2,FALSE)</f>
        <v>80910</v>
      </c>
    </row>
    <row r="327" spans="1:14" x14ac:dyDescent="0.35">
      <c r="A327" s="6" t="str">
        <f>TEXT(Table1[[#This Row],[DATE]],"MMMM")</f>
        <v>August</v>
      </c>
      <c r="B327" s="10">
        <v>44784</v>
      </c>
      <c r="C327" s="1" t="s">
        <v>610</v>
      </c>
      <c r="D327" s="1" t="str">
        <f>UPPER(Table1[[#This Row],[NAME2]])</f>
        <v>BRITTANY BEST</v>
      </c>
      <c r="E327" s="1" t="s">
        <v>54</v>
      </c>
      <c r="F327" s="1" t="s">
        <v>55</v>
      </c>
      <c r="G327" s="1" t="s">
        <v>21</v>
      </c>
      <c r="H327" s="1" t="s">
        <v>56</v>
      </c>
      <c r="I327" s="1" t="s">
        <v>23</v>
      </c>
      <c r="J327" s="9">
        <v>28</v>
      </c>
      <c r="K327" s="1" t="str">
        <f>IF(Table1[[#This Row],[AGE]]&lt;=18,"CHILD",IF(Table1[[#This Row],[AGE]]&lt;=20,"TEEN",IF(Table1[[#This Row],[AGE]]&lt;=40,"ADULT",IF(Table1[[#This Row],[AGE]]&lt;=60,"SENIOR CITIZEN","OLD CITIZEN"))))</f>
        <v>ADULT</v>
      </c>
      <c r="L327" s="1" t="s">
        <v>66</v>
      </c>
      <c r="M327" s="1" t="s">
        <v>25</v>
      </c>
      <c r="N327" s="13">
        <f>VLOOKUP(Table1[[#This Row],[TRANSACTION ID]],'Transaction ID Record'!$C$3:$D$510,2,FALSE)</f>
        <v>59918</v>
      </c>
    </row>
    <row r="328" spans="1:14" x14ac:dyDescent="0.35">
      <c r="A328" s="6" t="str">
        <f>TEXT(Table1[[#This Row],[DATE]],"MMMM")</f>
        <v>August</v>
      </c>
      <c r="B328" s="10">
        <v>44785</v>
      </c>
      <c r="C328" s="1" t="s">
        <v>611</v>
      </c>
      <c r="D328" s="1" t="str">
        <f>UPPER(Table1[[#This Row],[NAME2]])</f>
        <v>ADENIYI WEAVER</v>
      </c>
      <c r="E328" s="1" t="s">
        <v>196</v>
      </c>
      <c r="F328" s="1" t="s">
        <v>197</v>
      </c>
      <c r="G328" s="1" t="s">
        <v>13</v>
      </c>
      <c r="H328" s="1" t="s">
        <v>198</v>
      </c>
      <c r="I328" s="1" t="s">
        <v>30</v>
      </c>
      <c r="J328" s="9">
        <v>39</v>
      </c>
      <c r="K328" s="1" t="str">
        <f>IF(Table1[[#This Row],[AGE]]&lt;=18,"CHILD",IF(Table1[[#This Row],[AGE]]&lt;=20,"TEEN",IF(Table1[[#This Row],[AGE]]&lt;=40,"ADULT",IF(Table1[[#This Row],[AGE]]&lt;=60,"SENIOR CITIZEN","OLD CITIZEN"))))</f>
        <v>ADULT</v>
      </c>
      <c r="L328" s="1" t="s">
        <v>57</v>
      </c>
      <c r="M328" s="1" t="s">
        <v>17</v>
      </c>
      <c r="N328" s="13">
        <f>VLOOKUP(Table1[[#This Row],[TRANSACTION ID]],'Transaction ID Record'!$C$3:$D$510,2,FALSE)</f>
        <v>117207</v>
      </c>
    </row>
    <row r="329" spans="1:14" x14ac:dyDescent="0.35">
      <c r="A329" s="6" t="str">
        <f>TEXT(Table1[[#This Row],[DATE]],"MMMM")</f>
        <v>August</v>
      </c>
      <c r="B329" s="10">
        <v>44785</v>
      </c>
      <c r="C329" s="1" t="s">
        <v>612</v>
      </c>
      <c r="D329" s="1" t="str">
        <f>UPPER(Table1[[#This Row],[NAME2]])</f>
        <v>AGEMO BARNES</v>
      </c>
      <c r="E329" s="1" t="s">
        <v>111</v>
      </c>
      <c r="F329" s="1" t="s">
        <v>112</v>
      </c>
      <c r="G329" s="1" t="s">
        <v>21</v>
      </c>
      <c r="H329" s="1" t="s">
        <v>113</v>
      </c>
      <c r="I329" s="1" t="s">
        <v>23</v>
      </c>
      <c r="J329" s="9">
        <v>58</v>
      </c>
      <c r="K329" s="1" t="str">
        <f>IF(Table1[[#This Row],[AGE]]&lt;=18,"CHILD",IF(Table1[[#This Row],[AGE]]&lt;=20,"TEEN",IF(Table1[[#This Row],[AGE]]&lt;=40,"ADULT",IF(Table1[[#This Row],[AGE]]&lt;=60,"SENIOR CITIZEN","OLD CITIZEN"))))</f>
        <v>SENIOR CITIZEN</v>
      </c>
      <c r="L329" s="1" t="s">
        <v>66</v>
      </c>
      <c r="M329" s="1" t="s">
        <v>25</v>
      </c>
      <c r="N329" s="13">
        <f>VLOOKUP(Table1[[#This Row],[TRANSACTION ID]],'Transaction ID Record'!$C$3:$D$510,2,FALSE)</f>
        <v>168137</v>
      </c>
    </row>
    <row r="330" spans="1:14" x14ac:dyDescent="0.35">
      <c r="A330" s="6" t="str">
        <f>TEXT(Table1[[#This Row],[DATE]],"MMMM")</f>
        <v>August</v>
      </c>
      <c r="B330" s="10">
        <v>44786</v>
      </c>
      <c r="C330" s="1" t="s">
        <v>613</v>
      </c>
      <c r="D330" s="1" t="str">
        <f>UPPER(Table1[[#This Row],[NAME2]])</f>
        <v>EBUKA MERCER</v>
      </c>
      <c r="E330" s="1" t="s">
        <v>482</v>
      </c>
      <c r="F330" s="1" t="s">
        <v>483</v>
      </c>
      <c r="G330" s="1" t="s">
        <v>21</v>
      </c>
      <c r="H330" s="1" t="s">
        <v>484</v>
      </c>
      <c r="I330" s="1" t="s">
        <v>15</v>
      </c>
      <c r="J330" s="9">
        <v>24</v>
      </c>
      <c r="K330" s="1" t="str">
        <f>IF(Table1[[#This Row],[AGE]]&lt;=18,"CHILD",IF(Table1[[#This Row],[AGE]]&lt;=20,"TEEN",IF(Table1[[#This Row],[AGE]]&lt;=40,"ADULT",IF(Table1[[#This Row],[AGE]]&lt;=60,"SENIOR CITIZEN","OLD CITIZEN"))))</f>
        <v>ADULT</v>
      </c>
      <c r="L330" s="1" t="s">
        <v>167</v>
      </c>
      <c r="M330" s="1" t="s">
        <v>61</v>
      </c>
      <c r="N330" s="13">
        <f>VLOOKUP(Table1[[#This Row],[TRANSACTION ID]],'Transaction ID Record'!$C$3:$D$510,2,FALSE)</f>
        <v>39852</v>
      </c>
    </row>
    <row r="331" spans="1:14" x14ac:dyDescent="0.35">
      <c r="A331" s="6" t="str">
        <f>TEXT(Table1[[#This Row],[DATE]],"MMMM")</f>
        <v>August</v>
      </c>
      <c r="B331" s="10">
        <v>44787</v>
      </c>
      <c r="C331" s="1" t="s">
        <v>614</v>
      </c>
      <c r="D331" s="1" t="str">
        <f>UPPER(Table1[[#This Row],[NAME2]])</f>
        <v>NOEL MACK</v>
      </c>
      <c r="E331" s="1" t="s">
        <v>275</v>
      </c>
      <c r="F331" s="1" t="s">
        <v>276</v>
      </c>
      <c r="G331" s="1" t="s">
        <v>13</v>
      </c>
      <c r="H331" s="1" t="s">
        <v>277</v>
      </c>
      <c r="I331" s="1" t="s">
        <v>30</v>
      </c>
      <c r="J331" s="9">
        <v>64</v>
      </c>
      <c r="K331" s="1" t="str">
        <f>IF(Table1[[#This Row],[AGE]]&lt;=18,"CHILD",IF(Table1[[#This Row],[AGE]]&lt;=20,"TEEN",IF(Table1[[#This Row],[AGE]]&lt;=40,"ADULT",IF(Table1[[#This Row],[AGE]]&lt;=60,"SENIOR CITIZEN","OLD CITIZEN"))))</f>
        <v>OLD CITIZEN</v>
      </c>
      <c r="L331" s="1" t="s">
        <v>57</v>
      </c>
      <c r="M331" s="1" t="s">
        <v>47</v>
      </c>
      <c r="N331" s="13">
        <f>VLOOKUP(Table1[[#This Row],[TRANSACTION ID]],'Transaction ID Record'!$C$3:$D$510,2,FALSE)</f>
        <v>178243</v>
      </c>
    </row>
    <row r="332" spans="1:14" x14ac:dyDescent="0.35">
      <c r="A332" s="6" t="str">
        <f>TEXT(Table1[[#This Row],[DATE]],"MMMM")</f>
        <v>August</v>
      </c>
      <c r="B332" s="10">
        <v>44788</v>
      </c>
      <c r="C332" s="1" t="s">
        <v>615</v>
      </c>
      <c r="D332" s="1" t="str">
        <f>UPPER(Table1[[#This Row],[NAME2]])</f>
        <v>OKEDIRAN MITCHELL</v>
      </c>
      <c r="E332" s="1" t="s">
        <v>314</v>
      </c>
      <c r="F332" s="1" t="s">
        <v>315</v>
      </c>
      <c r="G332" s="1" t="s">
        <v>21</v>
      </c>
      <c r="H332" s="1" t="s">
        <v>316</v>
      </c>
      <c r="I332" s="1" t="s">
        <v>23</v>
      </c>
      <c r="J332" s="9">
        <v>28</v>
      </c>
      <c r="K332" s="1" t="str">
        <f>IF(Table1[[#This Row],[AGE]]&lt;=18,"CHILD",IF(Table1[[#This Row],[AGE]]&lt;=20,"TEEN",IF(Table1[[#This Row],[AGE]]&lt;=40,"ADULT",IF(Table1[[#This Row],[AGE]]&lt;=60,"SENIOR CITIZEN","OLD CITIZEN"))))</f>
        <v>ADULT</v>
      </c>
      <c r="L332" s="1" t="s">
        <v>16</v>
      </c>
      <c r="M332" s="1" t="s">
        <v>47</v>
      </c>
      <c r="N332" s="13">
        <f>VLOOKUP(Table1[[#This Row],[TRANSACTION ID]],'Transaction ID Record'!$C$3:$D$510,2,FALSE)</f>
        <v>138750</v>
      </c>
    </row>
    <row r="333" spans="1:14" x14ac:dyDescent="0.35">
      <c r="A333" s="6" t="str">
        <f>TEXT(Table1[[#This Row],[DATE]],"MMMM")</f>
        <v>August</v>
      </c>
      <c r="B333" s="10">
        <v>44789</v>
      </c>
      <c r="C333" s="1" t="s">
        <v>616</v>
      </c>
      <c r="D333" s="1" t="str">
        <f>UPPER(Table1[[#This Row],[NAME2]])</f>
        <v>OLAOGUN GILBERT</v>
      </c>
      <c r="E333" s="1" t="s">
        <v>44</v>
      </c>
      <c r="F333" s="1" t="s">
        <v>45</v>
      </c>
      <c r="G333" s="1" t="s">
        <v>13</v>
      </c>
      <c r="H333" s="1" t="s">
        <v>46</v>
      </c>
      <c r="I333" s="1" t="s">
        <v>15</v>
      </c>
      <c r="J333" s="9">
        <v>22</v>
      </c>
      <c r="K333" s="1" t="str">
        <f>IF(Table1[[#This Row],[AGE]]&lt;=18,"CHILD",IF(Table1[[#This Row],[AGE]]&lt;=20,"TEEN",IF(Table1[[#This Row],[AGE]]&lt;=40,"ADULT",IF(Table1[[#This Row],[AGE]]&lt;=60,"SENIOR CITIZEN","OLD CITIZEN"))))</f>
        <v>ADULT</v>
      </c>
      <c r="L333" s="1" t="s">
        <v>52</v>
      </c>
      <c r="M333" s="1" t="s">
        <v>25</v>
      </c>
      <c r="N333" s="13">
        <f>VLOOKUP(Table1[[#This Row],[TRANSACTION ID]],'Transaction ID Record'!$C$3:$D$510,2,FALSE)</f>
        <v>30338</v>
      </c>
    </row>
    <row r="334" spans="1:14" x14ac:dyDescent="0.35">
      <c r="A334" s="6" t="str">
        <f>TEXT(Table1[[#This Row],[DATE]],"MMMM")</f>
        <v>August</v>
      </c>
      <c r="B334" s="10">
        <v>44791</v>
      </c>
      <c r="C334" s="1" t="s">
        <v>617</v>
      </c>
      <c r="D334" s="1" t="str">
        <f>UPPER(Table1[[#This Row],[NAME2]])</f>
        <v>ELEANOR DUANE</v>
      </c>
      <c r="E334" s="1" t="s">
        <v>375</v>
      </c>
      <c r="F334" s="1" t="s">
        <v>376</v>
      </c>
      <c r="G334" s="1" t="s">
        <v>13</v>
      </c>
      <c r="H334" s="1" t="s">
        <v>377</v>
      </c>
      <c r="I334" s="1" t="s">
        <v>15</v>
      </c>
      <c r="J334" s="9">
        <v>35</v>
      </c>
      <c r="K334" s="1" t="str">
        <f>IF(Table1[[#This Row],[AGE]]&lt;=18,"CHILD",IF(Table1[[#This Row],[AGE]]&lt;=20,"TEEN",IF(Table1[[#This Row],[AGE]]&lt;=40,"ADULT",IF(Table1[[#This Row],[AGE]]&lt;=60,"SENIOR CITIZEN","OLD CITIZEN"))))</f>
        <v>ADULT</v>
      </c>
      <c r="L334" s="1" t="s">
        <v>66</v>
      </c>
      <c r="M334" s="1" t="s">
        <v>47</v>
      </c>
      <c r="N334" s="13">
        <f>VLOOKUP(Table1[[#This Row],[TRANSACTION ID]],'Transaction ID Record'!$C$3:$D$510,2,FALSE)</f>
        <v>157051</v>
      </c>
    </row>
    <row r="335" spans="1:14" x14ac:dyDescent="0.35">
      <c r="A335" s="6" t="str">
        <f>TEXT(Table1[[#This Row],[DATE]],"MMMM")</f>
        <v>August</v>
      </c>
      <c r="B335" s="10">
        <v>44792</v>
      </c>
      <c r="C335" s="1" t="s">
        <v>618</v>
      </c>
      <c r="D335" s="1" t="str">
        <f>UPPER(Table1[[#This Row],[NAME2]])</f>
        <v>EMERSON PANOVSKY</v>
      </c>
      <c r="E335" s="1" t="s">
        <v>75</v>
      </c>
      <c r="F335" s="1" t="s">
        <v>76</v>
      </c>
      <c r="G335" s="1" t="s">
        <v>21</v>
      </c>
      <c r="H335" s="1" t="s">
        <v>77</v>
      </c>
      <c r="I335" s="1" t="s">
        <v>30</v>
      </c>
      <c r="J335" s="9">
        <v>19</v>
      </c>
      <c r="K335" s="1" t="str">
        <f>IF(Table1[[#This Row],[AGE]]&lt;=18,"CHILD",IF(Table1[[#This Row],[AGE]]&lt;=20,"TEEN",IF(Table1[[#This Row],[AGE]]&lt;=40,"ADULT",IF(Table1[[#This Row],[AGE]]&lt;=60,"SENIOR CITIZEN","OLD CITIZEN"))))</f>
        <v>TEEN</v>
      </c>
      <c r="L335" s="1" t="s">
        <v>167</v>
      </c>
      <c r="M335" s="1" t="s">
        <v>17</v>
      </c>
      <c r="N335" s="13">
        <f>VLOOKUP(Table1[[#This Row],[TRANSACTION ID]],'Transaction ID Record'!$C$3:$D$510,2,FALSE)</f>
        <v>173163</v>
      </c>
    </row>
    <row r="336" spans="1:14" x14ac:dyDescent="0.35">
      <c r="A336" s="6" t="str">
        <f>TEXT(Table1[[#This Row],[DATE]],"MMMM")</f>
        <v>August</v>
      </c>
      <c r="B336" s="10">
        <v>44792</v>
      </c>
      <c r="C336" s="1" t="s">
        <v>619</v>
      </c>
      <c r="D336" s="1" t="str">
        <f>UPPER(Table1[[#This Row],[NAME2]])</f>
        <v>PETER DIXON</v>
      </c>
      <c r="E336" s="1" t="s">
        <v>141</v>
      </c>
      <c r="F336" s="1" t="s">
        <v>142</v>
      </c>
      <c r="G336" s="1" t="s">
        <v>21</v>
      </c>
      <c r="H336" s="1" t="s">
        <v>143</v>
      </c>
      <c r="I336" s="1" t="s">
        <v>15</v>
      </c>
      <c r="J336" s="9">
        <v>34</v>
      </c>
      <c r="K336" s="1" t="str">
        <f>IF(Table1[[#This Row],[AGE]]&lt;=18,"CHILD",IF(Table1[[#This Row],[AGE]]&lt;=20,"TEEN",IF(Table1[[#This Row],[AGE]]&lt;=40,"ADULT",IF(Table1[[#This Row],[AGE]]&lt;=60,"SENIOR CITIZEN","OLD CITIZEN"))))</f>
        <v>ADULT</v>
      </c>
      <c r="L336" s="1" t="s">
        <v>66</v>
      </c>
      <c r="M336" s="1" t="s">
        <v>17</v>
      </c>
      <c r="N336" s="13">
        <f>VLOOKUP(Table1[[#This Row],[TRANSACTION ID]],'Transaction ID Record'!$C$3:$D$510,2,FALSE)</f>
        <v>113794</v>
      </c>
    </row>
    <row r="337" spans="1:14" x14ac:dyDescent="0.35">
      <c r="A337" s="6" t="str">
        <f>TEXT(Table1[[#This Row],[DATE]],"MMMM")</f>
        <v>August</v>
      </c>
      <c r="B337" s="10">
        <v>44792</v>
      </c>
      <c r="C337" s="1" t="s">
        <v>620</v>
      </c>
      <c r="D337" s="1" t="str">
        <f>UPPER(Table1[[#This Row],[NAME2]])</f>
        <v>ROBERT JONES</v>
      </c>
      <c r="E337" s="1" t="s">
        <v>472</v>
      </c>
      <c r="F337" s="1" t="s">
        <v>473</v>
      </c>
      <c r="G337" s="1" t="s">
        <v>21</v>
      </c>
      <c r="H337" s="1" t="s">
        <v>474</v>
      </c>
      <c r="I337" s="1" t="s">
        <v>15</v>
      </c>
      <c r="J337" s="9">
        <v>51</v>
      </c>
      <c r="K337" s="1" t="str">
        <f>IF(Table1[[#This Row],[AGE]]&lt;=18,"CHILD",IF(Table1[[#This Row],[AGE]]&lt;=20,"TEEN",IF(Table1[[#This Row],[AGE]]&lt;=40,"ADULT",IF(Table1[[#This Row],[AGE]]&lt;=60,"SENIOR CITIZEN","OLD CITIZEN"))))</f>
        <v>SENIOR CITIZEN</v>
      </c>
      <c r="L337" s="1" t="s">
        <v>151</v>
      </c>
      <c r="M337" s="1" t="s">
        <v>25</v>
      </c>
      <c r="N337" s="13">
        <f>VLOOKUP(Table1[[#This Row],[TRANSACTION ID]],'Transaction ID Record'!$C$3:$D$510,2,FALSE)</f>
        <v>101184</v>
      </c>
    </row>
    <row r="338" spans="1:14" x14ac:dyDescent="0.35">
      <c r="A338" s="6" t="str">
        <f>TEXT(Table1[[#This Row],[DATE]],"MMMM")</f>
        <v>August</v>
      </c>
      <c r="B338" s="10">
        <v>44792</v>
      </c>
      <c r="C338" s="1" t="s">
        <v>621</v>
      </c>
      <c r="D338" s="1" t="str">
        <f>UPPER(Table1[[#This Row],[NAME2]])</f>
        <v>JOY GARZA</v>
      </c>
      <c r="E338" s="1" t="s">
        <v>158</v>
      </c>
      <c r="F338" s="1" t="s">
        <v>159</v>
      </c>
      <c r="G338" s="1" t="s">
        <v>13</v>
      </c>
      <c r="H338" s="1" t="s">
        <v>160</v>
      </c>
      <c r="I338" s="1" t="s">
        <v>23</v>
      </c>
      <c r="J338" s="9">
        <v>60</v>
      </c>
      <c r="K338" s="1" t="str">
        <f>IF(Table1[[#This Row],[AGE]]&lt;=18,"CHILD",IF(Table1[[#This Row],[AGE]]&lt;=20,"TEEN",IF(Table1[[#This Row],[AGE]]&lt;=40,"ADULT",IF(Table1[[#This Row],[AGE]]&lt;=60,"SENIOR CITIZEN","OLD CITIZEN"))))</f>
        <v>SENIOR CITIZEN</v>
      </c>
      <c r="L338" s="1" t="s">
        <v>16</v>
      </c>
      <c r="M338" s="1" t="s">
        <v>47</v>
      </c>
      <c r="N338" s="13">
        <f>VLOOKUP(Table1[[#This Row],[TRANSACTION ID]],'Transaction ID Record'!$C$3:$D$510,2,FALSE)</f>
        <v>181490</v>
      </c>
    </row>
    <row r="339" spans="1:14" x14ac:dyDescent="0.35">
      <c r="A339" s="6" t="str">
        <f>TEXT(Table1[[#This Row],[DATE]],"MMMM")</f>
        <v>August</v>
      </c>
      <c r="B339" s="10">
        <v>44792</v>
      </c>
      <c r="C339" s="1" t="s">
        <v>622</v>
      </c>
      <c r="D339" s="1" t="str">
        <f>UPPER(Table1[[#This Row],[NAME2]])</f>
        <v>BRYNNE NANKAM</v>
      </c>
      <c r="E339" s="1" t="s">
        <v>104</v>
      </c>
      <c r="F339" s="1" t="s">
        <v>806</v>
      </c>
      <c r="G339" s="1" t="s">
        <v>13</v>
      </c>
      <c r="H339" s="1" t="s">
        <v>105</v>
      </c>
      <c r="I339" s="1" t="s">
        <v>30</v>
      </c>
      <c r="J339" s="9">
        <v>64</v>
      </c>
      <c r="K339" s="1" t="str">
        <f>IF(Table1[[#This Row],[AGE]]&lt;=18,"CHILD",IF(Table1[[#This Row],[AGE]]&lt;=20,"TEEN",IF(Table1[[#This Row],[AGE]]&lt;=40,"ADULT",IF(Table1[[#This Row],[AGE]]&lt;=60,"SENIOR CITIZEN","OLD CITIZEN"))))</f>
        <v>OLD CITIZEN</v>
      </c>
      <c r="L339" s="1" t="s">
        <v>16</v>
      </c>
      <c r="M339" s="1" t="s">
        <v>61</v>
      </c>
      <c r="N339" s="13">
        <f>VLOOKUP(Table1[[#This Row],[TRANSACTION ID]],'Transaction ID Record'!$C$3:$D$510,2,FALSE)</f>
        <v>187570</v>
      </c>
    </row>
    <row r="340" spans="1:14" x14ac:dyDescent="0.35">
      <c r="A340" s="6" t="str">
        <f>TEXT(Table1[[#This Row],[DATE]],"MMMM")</f>
        <v>August</v>
      </c>
      <c r="B340" s="10">
        <v>44793</v>
      </c>
      <c r="C340" s="1" t="s">
        <v>623</v>
      </c>
      <c r="D340" s="1" t="str">
        <f>UPPER(Table1[[#This Row],[NAME2]])</f>
        <v>ROBERT JONES</v>
      </c>
      <c r="E340" s="1" t="s">
        <v>472</v>
      </c>
      <c r="F340" s="1" t="s">
        <v>473</v>
      </c>
      <c r="G340" s="1" t="s">
        <v>21</v>
      </c>
      <c r="H340" s="1" t="s">
        <v>474</v>
      </c>
      <c r="I340" s="1" t="s">
        <v>15</v>
      </c>
      <c r="J340" s="9">
        <v>51</v>
      </c>
      <c r="K340" s="1" t="str">
        <f>IF(Table1[[#This Row],[AGE]]&lt;=18,"CHILD",IF(Table1[[#This Row],[AGE]]&lt;=20,"TEEN",IF(Table1[[#This Row],[AGE]]&lt;=40,"ADULT",IF(Table1[[#This Row],[AGE]]&lt;=60,"SENIOR CITIZEN","OLD CITIZEN"))))</f>
        <v>SENIOR CITIZEN</v>
      </c>
      <c r="L340" s="1" t="s">
        <v>16</v>
      </c>
      <c r="M340" s="1" t="s">
        <v>25</v>
      </c>
      <c r="N340" s="13">
        <f>VLOOKUP(Table1[[#This Row],[TRANSACTION ID]],'Transaction ID Record'!$C$3:$D$510,2,FALSE)</f>
        <v>126731</v>
      </c>
    </row>
    <row r="341" spans="1:14" x14ac:dyDescent="0.35">
      <c r="A341" s="6" t="str">
        <f>TEXT(Table1[[#This Row],[DATE]],"MMMM")</f>
        <v>August</v>
      </c>
      <c r="B341" s="10">
        <v>44793</v>
      </c>
      <c r="C341" s="1" t="s">
        <v>624</v>
      </c>
      <c r="D341" s="1" t="str">
        <f>UPPER(Table1[[#This Row],[NAME2]])</f>
        <v>AYO VANG</v>
      </c>
      <c r="E341" s="1" t="s">
        <v>272</v>
      </c>
      <c r="F341" s="1" t="s">
        <v>820</v>
      </c>
      <c r="G341" s="1" t="s">
        <v>13</v>
      </c>
      <c r="H341" s="1" t="s">
        <v>273</v>
      </c>
      <c r="I341" s="1" t="s">
        <v>15</v>
      </c>
      <c r="J341" s="9">
        <v>44</v>
      </c>
      <c r="K341" s="1" t="str">
        <f>IF(Table1[[#This Row],[AGE]]&lt;=18,"CHILD",IF(Table1[[#This Row],[AGE]]&lt;=20,"TEEN",IF(Table1[[#This Row],[AGE]]&lt;=40,"ADULT",IF(Table1[[#This Row],[AGE]]&lt;=60,"SENIOR CITIZEN","OLD CITIZEN"))))</f>
        <v>SENIOR CITIZEN</v>
      </c>
      <c r="L341" s="1" t="s">
        <v>42</v>
      </c>
      <c r="M341" s="1" t="s">
        <v>47</v>
      </c>
      <c r="N341" s="13">
        <f>VLOOKUP(Table1[[#This Row],[TRANSACTION ID]],'Transaction ID Record'!$C$3:$D$510,2,FALSE)</f>
        <v>57710</v>
      </c>
    </row>
    <row r="342" spans="1:14" x14ac:dyDescent="0.35">
      <c r="A342" s="6" t="str">
        <f>TEXT(Table1[[#This Row],[DATE]],"MMMM")</f>
        <v>August</v>
      </c>
      <c r="B342" s="10">
        <v>44795</v>
      </c>
      <c r="C342" s="1" t="s">
        <v>625</v>
      </c>
      <c r="D342" s="1" t="str">
        <f>UPPER(Table1[[#This Row],[NAME2]])</f>
        <v>ATHENA MACDONALD</v>
      </c>
      <c r="E342" s="1" t="s">
        <v>169</v>
      </c>
      <c r="F342" s="1" t="s">
        <v>170</v>
      </c>
      <c r="G342" s="1" t="s">
        <v>13</v>
      </c>
      <c r="H342" s="1" t="s">
        <v>171</v>
      </c>
      <c r="I342" s="1" t="s">
        <v>30</v>
      </c>
      <c r="J342" s="9">
        <v>29</v>
      </c>
      <c r="K342" s="1" t="str">
        <f>IF(Table1[[#This Row],[AGE]]&lt;=18,"CHILD",IF(Table1[[#This Row],[AGE]]&lt;=20,"TEEN",IF(Table1[[#This Row],[AGE]]&lt;=40,"ADULT",IF(Table1[[#This Row],[AGE]]&lt;=60,"SENIOR CITIZEN","OLD CITIZEN"))))</f>
        <v>ADULT</v>
      </c>
      <c r="L342" s="1" t="s">
        <v>24</v>
      </c>
      <c r="M342" s="1" t="s">
        <v>25</v>
      </c>
      <c r="N342" s="13">
        <f>VLOOKUP(Table1[[#This Row],[TRANSACTION ID]],'Transaction ID Record'!$C$3:$D$510,2,FALSE)</f>
        <v>125905</v>
      </c>
    </row>
    <row r="343" spans="1:14" x14ac:dyDescent="0.35">
      <c r="A343" s="6" t="str">
        <f>TEXT(Table1[[#This Row],[DATE]],"MMMM")</f>
        <v>August</v>
      </c>
      <c r="B343" s="10">
        <v>44795</v>
      </c>
      <c r="C343" s="1" t="s">
        <v>626</v>
      </c>
      <c r="D343" s="1" t="str">
        <f>UPPER(Table1[[#This Row],[NAME2]])</f>
        <v>AYO WISE</v>
      </c>
      <c r="E343" s="1" t="s">
        <v>476</v>
      </c>
      <c r="F343" s="1" t="s">
        <v>832</v>
      </c>
      <c r="G343" s="1" t="s">
        <v>13</v>
      </c>
      <c r="H343" s="1" t="s">
        <v>477</v>
      </c>
      <c r="I343" s="1" t="s">
        <v>15</v>
      </c>
      <c r="J343" s="9">
        <v>64</v>
      </c>
      <c r="K343" s="1" t="str">
        <f>IF(Table1[[#This Row],[AGE]]&lt;=18,"CHILD",IF(Table1[[#This Row],[AGE]]&lt;=20,"TEEN",IF(Table1[[#This Row],[AGE]]&lt;=40,"ADULT",IF(Table1[[#This Row],[AGE]]&lt;=60,"SENIOR CITIZEN","OLD CITIZEN"))))</f>
        <v>OLD CITIZEN</v>
      </c>
      <c r="L343" s="1" t="s">
        <v>31</v>
      </c>
      <c r="M343" s="1" t="s">
        <v>25</v>
      </c>
      <c r="N343" s="13">
        <f>VLOOKUP(Table1[[#This Row],[TRANSACTION ID]],'Transaction ID Record'!$C$3:$D$510,2,FALSE)</f>
        <v>74861</v>
      </c>
    </row>
    <row r="344" spans="1:14" x14ac:dyDescent="0.35">
      <c r="A344" s="6" t="str">
        <f>TEXT(Table1[[#This Row],[DATE]],"MMMM")</f>
        <v>August</v>
      </c>
      <c r="B344" s="10">
        <v>44796</v>
      </c>
      <c r="C344" s="1" t="s">
        <v>627</v>
      </c>
      <c r="D344" s="1" t="str">
        <f>UPPER(Table1[[#This Row],[NAME2]])</f>
        <v>GWENDOLYN APPLE</v>
      </c>
      <c r="E344" s="1" t="s">
        <v>628</v>
      </c>
      <c r="F344" s="1" t="s">
        <v>629</v>
      </c>
      <c r="G344" s="1" t="s">
        <v>13</v>
      </c>
      <c r="H344" s="1" t="s">
        <v>630</v>
      </c>
      <c r="I344" s="1" t="s">
        <v>23</v>
      </c>
      <c r="J344" s="9">
        <v>41</v>
      </c>
      <c r="K344" s="1" t="str">
        <f>IF(Table1[[#This Row],[AGE]]&lt;=18,"CHILD",IF(Table1[[#This Row],[AGE]]&lt;=20,"TEEN",IF(Table1[[#This Row],[AGE]]&lt;=40,"ADULT",IF(Table1[[#This Row],[AGE]]&lt;=60,"SENIOR CITIZEN","OLD CITIZEN"))))</f>
        <v>SENIOR CITIZEN</v>
      </c>
      <c r="L344" s="1" t="s">
        <v>52</v>
      </c>
      <c r="M344" s="1" t="s">
        <v>25</v>
      </c>
      <c r="N344" s="13">
        <f>VLOOKUP(Table1[[#This Row],[TRANSACTION ID]],'Transaction ID Record'!$C$3:$D$510,2,FALSE)</f>
        <v>62365</v>
      </c>
    </row>
    <row r="345" spans="1:14" x14ac:dyDescent="0.35">
      <c r="A345" s="6" t="str">
        <f>TEXT(Table1[[#This Row],[DATE]],"MMMM")</f>
        <v>August</v>
      </c>
      <c r="B345" s="10">
        <v>44797</v>
      </c>
      <c r="C345" s="1" t="s">
        <v>631</v>
      </c>
      <c r="D345" s="1" t="str">
        <f>UPPER(Table1[[#This Row],[NAME2]])</f>
        <v>PETER DIXON</v>
      </c>
      <c r="E345" s="1" t="s">
        <v>141</v>
      </c>
      <c r="F345" s="1" t="s">
        <v>142</v>
      </c>
      <c r="G345" s="1" t="s">
        <v>21</v>
      </c>
      <c r="H345" s="1" t="s">
        <v>143</v>
      </c>
      <c r="I345" s="1" t="s">
        <v>15</v>
      </c>
      <c r="J345" s="9">
        <v>34</v>
      </c>
      <c r="K345" s="1" t="str">
        <f>IF(Table1[[#This Row],[AGE]]&lt;=18,"CHILD",IF(Table1[[#This Row],[AGE]]&lt;=20,"TEEN",IF(Table1[[#This Row],[AGE]]&lt;=40,"ADULT",IF(Table1[[#This Row],[AGE]]&lt;=60,"SENIOR CITIZEN","OLD CITIZEN"))))</f>
        <v>ADULT</v>
      </c>
      <c r="L345" s="1" t="s">
        <v>31</v>
      </c>
      <c r="M345" s="1" t="s">
        <v>32</v>
      </c>
      <c r="N345" s="13">
        <f>VLOOKUP(Table1[[#This Row],[TRANSACTION ID]],'Transaction ID Record'!$C$3:$D$510,2,FALSE)</f>
        <v>177125</v>
      </c>
    </row>
    <row r="346" spans="1:14" x14ac:dyDescent="0.35">
      <c r="A346" s="6" t="str">
        <f>TEXT(Table1[[#This Row],[DATE]],"MMMM")</f>
        <v>August</v>
      </c>
      <c r="B346" s="10">
        <v>44797</v>
      </c>
      <c r="C346" s="1" t="s">
        <v>632</v>
      </c>
      <c r="D346" s="1" t="str">
        <f>UPPER(Table1[[#This Row],[NAME2]])</f>
        <v>ADELEKE FITZPATRICK</v>
      </c>
      <c r="E346" s="1" t="s">
        <v>121</v>
      </c>
      <c r="F346" s="1" t="s">
        <v>122</v>
      </c>
      <c r="G346" s="1" t="s">
        <v>13</v>
      </c>
      <c r="H346" s="1" t="s">
        <v>123</v>
      </c>
      <c r="I346" s="1" t="s">
        <v>15</v>
      </c>
      <c r="J346" s="9">
        <v>59</v>
      </c>
      <c r="K346" s="1" t="str">
        <f>IF(Table1[[#This Row],[AGE]]&lt;=18,"CHILD",IF(Table1[[#This Row],[AGE]]&lt;=20,"TEEN",IF(Table1[[#This Row],[AGE]]&lt;=40,"ADULT",IF(Table1[[#This Row],[AGE]]&lt;=60,"SENIOR CITIZEN","OLD CITIZEN"))))</f>
        <v>SENIOR CITIZEN</v>
      </c>
      <c r="L346" s="1" t="s">
        <v>52</v>
      </c>
      <c r="M346" s="1" t="s">
        <v>61</v>
      </c>
      <c r="N346" s="13">
        <f>VLOOKUP(Table1[[#This Row],[TRANSACTION ID]],'Transaction ID Record'!$C$3:$D$510,2,FALSE)</f>
        <v>101265</v>
      </c>
    </row>
    <row r="347" spans="1:14" x14ac:dyDescent="0.35">
      <c r="A347" s="6" t="str">
        <f>TEXT(Table1[[#This Row],[DATE]],"MMMM")</f>
        <v>August</v>
      </c>
      <c r="B347" s="10">
        <v>44798</v>
      </c>
      <c r="C347" s="1" t="s">
        <v>633</v>
      </c>
      <c r="D347" s="1" t="str">
        <f>UPPER(Table1[[#This Row],[NAME2]])</f>
        <v>OLUWAFUNMI JAMES</v>
      </c>
      <c r="E347" s="1" t="s">
        <v>462</v>
      </c>
      <c r="F347" s="1" t="s">
        <v>831</v>
      </c>
      <c r="G347" s="1" t="s">
        <v>13</v>
      </c>
      <c r="H347" s="1" t="s">
        <v>463</v>
      </c>
      <c r="I347" s="1" t="s">
        <v>23</v>
      </c>
      <c r="J347" s="9">
        <v>48</v>
      </c>
      <c r="K347" s="1" t="str">
        <f>IF(Table1[[#This Row],[AGE]]&lt;=18,"CHILD",IF(Table1[[#This Row],[AGE]]&lt;=20,"TEEN",IF(Table1[[#This Row],[AGE]]&lt;=40,"ADULT",IF(Table1[[#This Row],[AGE]]&lt;=60,"SENIOR CITIZEN","OLD CITIZEN"))))</f>
        <v>SENIOR CITIZEN</v>
      </c>
      <c r="L347" s="1" t="s">
        <v>52</v>
      </c>
      <c r="M347" s="1" t="s">
        <v>25</v>
      </c>
      <c r="N347" s="13">
        <f>VLOOKUP(Table1[[#This Row],[TRANSACTION ID]],'Transaction ID Record'!$C$3:$D$510,2,FALSE)</f>
        <v>71581</v>
      </c>
    </row>
    <row r="348" spans="1:14" x14ac:dyDescent="0.35">
      <c r="A348" s="6" t="str">
        <f>TEXT(Table1[[#This Row],[DATE]],"MMMM")</f>
        <v>August</v>
      </c>
      <c r="B348" s="10">
        <v>44798</v>
      </c>
      <c r="C348" s="1" t="s">
        <v>634</v>
      </c>
      <c r="D348" s="1" t="str">
        <f>UPPER(Table1[[#This Row],[NAME2]])</f>
        <v>FEMI JORDAN</v>
      </c>
      <c r="E348" s="1" t="s">
        <v>149</v>
      </c>
      <c r="F348" s="1" t="s">
        <v>810</v>
      </c>
      <c r="G348" s="1" t="s">
        <v>21</v>
      </c>
      <c r="H348" s="1" t="s">
        <v>150</v>
      </c>
      <c r="I348" s="1" t="s">
        <v>15</v>
      </c>
      <c r="J348" s="9">
        <v>68</v>
      </c>
      <c r="K348" s="1" t="str">
        <f>IF(Table1[[#This Row],[AGE]]&lt;=18,"CHILD",IF(Table1[[#This Row],[AGE]]&lt;=20,"TEEN",IF(Table1[[#This Row],[AGE]]&lt;=40,"ADULT",IF(Table1[[#This Row],[AGE]]&lt;=60,"SENIOR CITIZEN","OLD CITIZEN"))))</f>
        <v>OLD CITIZEN</v>
      </c>
      <c r="L348" s="1" t="s">
        <v>24</v>
      </c>
      <c r="M348" s="1" t="s">
        <v>61</v>
      </c>
      <c r="N348" s="13">
        <f>VLOOKUP(Table1[[#This Row],[TRANSACTION ID]],'Transaction ID Record'!$C$3:$D$510,2,FALSE)</f>
        <v>132297</v>
      </c>
    </row>
    <row r="349" spans="1:14" x14ac:dyDescent="0.35">
      <c r="A349" s="6" t="str">
        <f>TEXT(Table1[[#This Row],[DATE]],"MMMM")</f>
        <v>August</v>
      </c>
      <c r="B349" s="10">
        <v>44799</v>
      </c>
      <c r="C349" s="1" t="s">
        <v>635</v>
      </c>
      <c r="D349" s="1" t="str">
        <f>UPPER(Table1[[#This Row],[NAME2]])</f>
        <v>ADEBOLA SOLIS</v>
      </c>
      <c r="E349" s="1" t="s">
        <v>244</v>
      </c>
      <c r="F349" s="1" t="s">
        <v>245</v>
      </c>
      <c r="G349" s="1" t="s">
        <v>21</v>
      </c>
      <c r="H349" s="1" t="s">
        <v>246</v>
      </c>
      <c r="I349" s="1" t="s">
        <v>15</v>
      </c>
      <c r="J349" s="9">
        <v>29</v>
      </c>
      <c r="K349" s="1" t="str">
        <f>IF(Table1[[#This Row],[AGE]]&lt;=18,"CHILD",IF(Table1[[#This Row],[AGE]]&lt;=20,"TEEN",IF(Table1[[#This Row],[AGE]]&lt;=40,"ADULT",IF(Table1[[#This Row],[AGE]]&lt;=60,"SENIOR CITIZEN","OLD CITIZEN"))))</f>
        <v>ADULT</v>
      </c>
      <c r="L349" s="1" t="s">
        <v>66</v>
      </c>
      <c r="M349" s="1" t="s">
        <v>61</v>
      </c>
      <c r="N349" s="13">
        <f>VLOOKUP(Table1[[#This Row],[TRANSACTION ID]],'Transaction ID Record'!$C$3:$D$510,2,FALSE)</f>
        <v>21265</v>
      </c>
    </row>
    <row r="350" spans="1:14" x14ac:dyDescent="0.35">
      <c r="A350" s="6" t="str">
        <f>TEXT(Table1[[#This Row],[DATE]],"MMMM")</f>
        <v>August</v>
      </c>
      <c r="B350" s="10">
        <v>44800</v>
      </c>
      <c r="C350" s="1" t="s">
        <v>636</v>
      </c>
      <c r="D350" s="1" t="str">
        <f>UPPER(Table1[[#This Row],[NAME2]])</f>
        <v>INGRID BURRIS</v>
      </c>
      <c r="E350" s="1" t="s">
        <v>324</v>
      </c>
      <c r="F350" s="1" t="s">
        <v>824</v>
      </c>
      <c r="G350" s="1" t="s">
        <v>21</v>
      </c>
      <c r="H350" s="1" t="s">
        <v>325</v>
      </c>
      <c r="I350" s="1" t="s">
        <v>30</v>
      </c>
      <c r="J350" s="9">
        <v>50</v>
      </c>
      <c r="K350" s="1" t="str">
        <f>IF(Table1[[#This Row],[AGE]]&lt;=18,"CHILD",IF(Table1[[#This Row],[AGE]]&lt;=20,"TEEN",IF(Table1[[#This Row],[AGE]]&lt;=40,"ADULT",IF(Table1[[#This Row],[AGE]]&lt;=60,"SENIOR CITIZEN","OLD CITIZEN"))))</f>
        <v>SENIOR CITIZEN</v>
      </c>
      <c r="L350" s="1" t="s">
        <v>66</v>
      </c>
      <c r="M350" s="1" t="s">
        <v>32</v>
      </c>
      <c r="N350" s="13">
        <f>VLOOKUP(Table1[[#This Row],[TRANSACTION ID]],'Transaction ID Record'!$C$3:$D$510,2,FALSE)</f>
        <v>136334</v>
      </c>
    </row>
    <row r="351" spans="1:14" x14ac:dyDescent="0.35">
      <c r="A351" s="6" t="str">
        <f>TEXT(Table1[[#This Row],[DATE]],"MMMM")</f>
        <v>August</v>
      </c>
      <c r="B351" s="10">
        <v>44800</v>
      </c>
      <c r="C351" s="1" t="s">
        <v>637</v>
      </c>
      <c r="D351" s="1" t="str">
        <f>UPPER(Table1[[#This Row],[NAME2]])</f>
        <v>ADENIYI WEAVER</v>
      </c>
      <c r="E351" s="1" t="s">
        <v>196</v>
      </c>
      <c r="F351" s="1" t="s">
        <v>197</v>
      </c>
      <c r="G351" s="1" t="s">
        <v>13</v>
      </c>
      <c r="H351" s="1" t="s">
        <v>198</v>
      </c>
      <c r="I351" s="1" t="s">
        <v>30</v>
      </c>
      <c r="J351" s="9">
        <v>39</v>
      </c>
      <c r="K351" s="1" t="str">
        <f>IF(Table1[[#This Row],[AGE]]&lt;=18,"CHILD",IF(Table1[[#This Row],[AGE]]&lt;=20,"TEEN",IF(Table1[[#This Row],[AGE]]&lt;=40,"ADULT",IF(Table1[[#This Row],[AGE]]&lt;=60,"SENIOR CITIZEN","OLD CITIZEN"))))</f>
        <v>ADULT</v>
      </c>
      <c r="L351" s="1" t="s">
        <v>66</v>
      </c>
      <c r="M351" s="1" t="s">
        <v>32</v>
      </c>
      <c r="N351" s="13">
        <f>VLOOKUP(Table1[[#This Row],[TRANSACTION ID]],'Transaction ID Record'!$C$3:$D$510,2,FALSE)</f>
        <v>138221</v>
      </c>
    </row>
    <row r="352" spans="1:14" x14ac:dyDescent="0.35">
      <c r="A352" s="6" t="str">
        <f>TEXT(Table1[[#This Row],[DATE]],"MMMM")</f>
        <v>August</v>
      </c>
      <c r="B352" s="10">
        <v>44800</v>
      </c>
      <c r="C352" s="1" t="s">
        <v>638</v>
      </c>
      <c r="D352" s="1" t="str">
        <f>UPPER(Table1[[#This Row],[NAME2]])</f>
        <v>TAIBAT DENNIS</v>
      </c>
      <c r="E352" s="1" t="s">
        <v>327</v>
      </c>
      <c r="F352" s="1" t="s">
        <v>328</v>
      </c>
      <c r="G352" s="1" t="s">
        <v>13</v>
      </c>
      <c r="H352" s="1" t="s">
        <v>329</v>
      </c>
      <c r="I352" s="1" t="s">
        <v>23</v>
      </c>
      <c r="J352" s="9">
        <v>37</v>
      </c>
      <c r="K352" s="1" t="str">
        <f>IF(Table1[[#This Row],[AGE]]&lt;=18,"CHILD",IF(Table1[[#This Row],[AGE]]&lt;=20,"TEEN",IF(Table1[[#This Row],[AGE]]&lt;=40,"ADULT",IF(Table1[[#This Row],[AGE]]&lt;=60,"SENIOR CITIZEN","OLD CITIZEN"))))</f>
        <v>ADULT</v>
      </c>
      <c r="L352" s="1" t="s">
        <v>16</v>
      </c>
      <c r="M352" s="1" t="s">
        <v>17</v>
      </c>
      <c r="N352" s="13">
        <f>VLOOKUP(Table1[[#This Row],[TRANSACTION ID]],'Transaction ID Record'!$C$3:$D$510,2,FALSE)</f>
        <v>146152</v>
      </c>
    </row>
    <row r="353" spans="1:14" x14ac:dyDescent="0.35">
      <c r="A353" s="6" t="str">
        <f>TEXT(Table1[[#This Row],[DATE]],"MMMM")</f>
        <v>August</v>
      </c>
      <c r="B353" s="10">
        <v>44801</v>
      </c>
      <c r="C353" s="1" t="s">
        <v>639</v>
      </c>
      <c r="D353" s="1" t="str">
        <f>UPPER(Table1[[#This Row],[NAME2]])</f>
        <v>KEHINDE BUSH</v>
      </c>
      <c r="E353" s="1" t="s">
        <v>427</v>
      </c>
      <c r="F353" s="1" t="s">
        <v>828</v>
      </c>
      <c r="G353" s="1" t="s">
        <v>21</v>
      </c>
      <c r="H353" s="1" t="s">
        <v>428</v>
      </c>
      <c r="I353" s="1" t="s">
        <v>15</v>
      </c>
      <c r="J353" s="9">
        <v>48</v>
      </c>
      <c r="K353" s="1" t="str">
        <f>IF(Table1[[#This Row],[AGE]]&lt;=18,"CHILD",IF(Table1[[#This Row],[AGE]]&lt;=20,"TEEN",IF(Table1[[#This Row],[AGE]]&lt;=40,"ADULT",IF(Table1[[#This Row],[AGE]]&lt;=60,"SENIOR CITIZEN","OLD CITIZEN"))))</f>
        <v>SENIOR CITIZEN</v>
      </c>
      <c r="L353" s="1" t="s">
        <v>66</v>
      </c>
      <c r="M353" s="1" t="s">
        <v>17</v>
      </c>
      <c r="N353" s="13">
        <f>VLOOKUP(Table1[[#This Row],[TRANSACTION ID]],'Transaction ID Record'!$C$3:$D$510,2,FALSE)</f>
        <v>51730</v>
      </c>
    </row>
    <row r="354" spans="1:14" x14ac:dyDescent="0.35">
      <c r="A354" s="6" t="str">
        <f>TEXT(Table1[[#This Row],[DATE]],"MMMM")</f>
        <v>August</v>
      </c>
      <c r="B354" s="10">
        <v>44801</v>
      </c>
      <c r="C354" s="1" t="s">
        <v>640</v>
      </c>
      <c r="D354" s="1" t="str">
        <f>UPPER(Table1[[#This Row],[NAME2]])</f>
        <v>ATHENA MACDONALD</v>
      </c>
      <c r="E354" s="1" t="s">
        <v>169</v>
      </c>
      <c r="F354" s="1" t="s">
        <v>170</v>
      </c>
      <c r="G354" s="1" t="s">
        <v>13</v>
      </c>
      <c r="H354" s="1" t="s">
        <v>171</v>
      </c>
      <c r="I354" s="1" t="s">
        <v>30</v>
      </c>
      <c r="J354" s="9">
        <v>29</v>
      </c>
      <c r="K354" s="1" t="str">
        <f>IF(Table1[[#This Row],[AGE]]&lt;=18,"CHILD",IF(Table1[[#This Row],[AGE]]&lt;=20,"TEEN",IF(Table1[[#This Row],[AGE]]&lt;=40,"ADULT",IF(Table1[[#This Row],[AGE]]&lt;=60,"SENIOR CITIZEN","OLD CITIZEN"))))</f>
        <v>ADULT</v>
      </c>
      <c r="L354" s="1" t="s">
        <v>66</v>
      </c>
      <c r="M354" s="1" t="s">
        <v>61</v>
      </c>
      <c r="N354" s="13">
        <f>VLOOKUP(Table1[[#This Row],[TRANSACTION ID]],'Transaction ID Record'!$C$3:$D$510,2,FALSE)</f>
        <v>27700</v>
      </c>
    </row>
    <row r="355" spans="1:14" x14ac:dyDescent="0.35">
      <c r="A355" s="6" t="str">
        <f>TEXT(Table1[[#This Row],[DATE]],"MMMM")</f>
        <v>August</v>
      </c>
      <c r="B355" s="10">
        <v>44801</v>
      </c>
      <c r="C355" s="1" t="s">
        <v>641</v>
      </c>
      <c r="D355" s="1" t="str">
        <f>UPPER(Table1[[#This Row],[NAME2]])</f>
        <v>TAOHEED PERKINS</v>
      </c>
      <c r="E355" s="1" t="s">
        <v>107</v>
      </c>
      <c r="F355" s="1" t="s">
        <v>807</v>
      </c>
      <c r="G355" s="1" t="s">
        <v>21</v>
      </c>
      <c r="H355" s="1" t="s">
        <v>108</v>
      </c>
      <c r="I355" s="1" t="s">
        <v>15</v>
      </c>
      <c r="J355" s="9">
        <v>73</v>
      </c>
      <c r="K355" s="1" t="str">
        <f>IF(Table1[[#This Row],[AGE]]&lt;=18,"CHILD",IF(Table1[[#This Row],[AGE]]&lt;=20,"TEEN",IF(Table1[[#This Row],[AGE]]&lt;=40,"ADULT",IF(Table1[[#This Row],[AGE]]&lt;=60,"SENIOR CITIZEN","OLD CITIZEN"))))</f>
        <v>OLD CITIZEN</v>
      </c>
      <c r="L355" s="1" t="s">
        <v>151</v>
      </c>
      <c r="M355" s="1" t="s">
        <v>17</v>
      </c>
      <c r="N355" s="13">
        <f>VLOOKUP(Table1[[#This Row],[TRANSACTION ID]],'Transaction ID Record'!$C$3:$D$510,2,FALSE)</f>
        <v>139662</v>
      </c>
    </row>
    <row r="356" spans="1:14" x14ac:dyDescent="0.35">
      <c r="A356" s="6" t="str">
        <f>TEXT(Table1[[#This Row],[DATE]],"MMMM")</f>
        <v>August</v>
      </c>
      <c r="B356" s="10">
        <v>44802</v>
      </c>
      <c r="C356" s="1" t="s">
        <v>642</v>
      </c>
      <c r="D356" s="1" t="str">
        <f>UPPER(Table1[[#This Row],[NAME2]])</f>
        <v>SMALL ORR</v>
      </c>
      <c r="E356" s="1" t="s">
        <v>281</v>
      </c>
      <c r="F356" s="1" t="s">
        <v>282</v>
      </c>
      <c r="G356" s="1" t="s">
        <v>21</v>
      </c>
      <c r="H356" s="1" t="s">
        <v>283</v>
      </c>
      <c r="I356" s="1" t="s">
        <v>30</v>
      </c>
      <c r="J356" s="9">
        <v>40</v>
      </c>
      <c r="K356" s="1" t="str">
        <f>IF(Table1[[#This Row],[AGE]]&lt;=18,"CHILD",IF(Table1[[#This Row],[AGE]]&lt;=20,"TEEN",IF(Table1[[#This Row],[AGE]]&lt;=40,"ADULT",IF(Table1[[#This Row],[AGE]]&lt;=60,"SENIOR CITIZEN","OLD CITIZEN"))))</f>
        <v>ADULT</v>
      </c>
      <c r="L356" s="1" t="s">
        <v>57</v>
      </c>
      <c r="M356" s="1" t="s">
        <v>25</v>
      </c>
      <c r="N356" s="13">
        <f>VLOOKUP(Table1[[#This Row],[TRANSACTION ID]],'Transaction ID Record'!$C$3:$D$510,2,FALSE)</f>
        <v>158051</v>
      </c>
    </row>
    <row r="357" spans="1:14" x14ac:dyDescent="0.35">
      <c r="A357" s="6" t="str">
        <f>TEXT(Table1[[#This Row],[DATE]],"MMMM")</f>
        <v>August</v>
      </c>
      <c r="B357" s="10">
        <v>44803</v>
      </c>
      <c r="C357" s="1" t="s">
        <v>643</v>
      </c>
      <c r="D357" s="1" t="str">
        <f>UPPER(Table1[[#This Row],[NAME2]])</f>
        <v>LESLY PORTER</v>
      </c>
      <c r="E357" s="1" t="s">
        <v>223</v>
      </c>
      <c r="F357" s="1" t="s">
        <v>224</v>
      </c>
      <c r="G357" s="1" t="s">
        <v>21</v>
      </c>
      <c r="H357" s="1" t="s">
        <v>225</v>
      </c>
      <c r="I357" s="1" t="s">
        <v>30</v>
      </c>
      <c r="J357" s="9">
        <v>68</v>
      </c>
      <c r="K357" s="1" t="str">
        <f>IF(Table1[[#This Row],[AGE]]&lt;=18,"CHILD",IF(Table1[[#This Row],[AGE]]&lt;=20,"TEEN",IF(Table1[[#This Row],[AGE]]&lt;=40,"ADULT",IF(Table1[[#This Row],[AGE]]&lt;=60,"SENIOR CITIZEN","OLD CITIZEN"))))</f>
        <v>OLD CITIZEN</v>
      </c>
      <c r="L357" s="1" t="s">
        <v>16</v>
      </c>
      <c r="M357" s="1" t="s">
        <v>25</v>
      </c>
      <c r="N357" s="13">
        <f>VLOOKUP(Table1[[#This Row],[TRANSACTION ID]],'Transaction ID Record'!$C$3:$D$510,2,FALSE)</f>
        <v>46612</v>
      </c>
    </row>
    <row r="358" spans="1:14" x14ac:dyDescent="0.35">
      <c r="A358" s="6" t="str">
        <f>TEXT(Table1[[#This Row],[DATE]],"MMMM")</f>
        <v>September</v>
      </c>
      <c r="B358" s="10">
        <v>44805</v>
      </c>
      <c r="C358" s="1" t="s">
        <v>644</v>
      </c>
      <c r="D358" s="1" t="str">
        <f>UPPER(Table1[[#This Row],[NAME2]])</f>
        <v>LIBERTY BARNETT</v>
      </c>
      <c r="E358" s="1" t="s">
        <v>205</v>
      </c>
      <c r="F358" s="1" t="s">
        <v>206</v>
      </c>
      <c r="G358" s="1" t="s">
        <v>13</v>
      </c>
      <c r="H358" s="1" t="s">
        <v>207</v>
      </c>
      <c r="I358" s="1" t="s">
        <v>15</v>
      </c>
      <c r="J358" s="9">
        <v>39</v>
      </c>
      <c r="K358" s="1" t="str">
        <f>IF(Table1[[#This Row],[AGE]]&lt;=18,"CHILD",IF(Table1[[#This Row],[AGE]]&lt;=20,"TEEN",IF(Table1[[#This Row],[AGE]]&lt;=40,"ADULT",IF(Table1[[#This Row],[AGE]]&lt;=60,"SENIOR CITIZEN","OLD CITIZEN"))))</f>
        <v>ADULT</v>
      </c>
      <c r="L358" s="1" t="s">
        <v>31</v>
      </c>
      <c r="M358" s="1" t="s">
        <v>25</v>
      </c>
      <c r="N358" s="13">
        <f>VLOOKUP(Table1[[#This Row],[TRANSACTION ID]],'Transaction ID Record'!$C$3:$D$510,2,FALSE)</f>
        <v>39210</v>
      </c>
    </row>
    <row r="359" spans="1:14" x14ac:dyDescent="0.35">
      <c r="A359" s="6" t="str">
        <f>TEXT(Table1[[#This Row],[DATE]],"MMMM")</f>
        <v>September</v>
      </c>
      <c r="B359" s="10">
        <v>44808</v>
      </c>
      <c r="C359" s="1" t="s">
        <v>645</v>
      </c>
      <c r="D359" s="1" t="str">
        <f>UPPER(Table1[[#This Row],[NAME2]])</f>
        <v>NYSSA WALTON</v>
      </c>
      <c r="E359" s="1" t="s">
        <v>590</v>
      </c>
      <c r="F359" s="1" t="s">
        <v>591</v>
      </c>
      <c r="G359" s="1" t="s">
        <v>13</v>
      </c>
      <c r="H359" s="1" t="s">
        <v>592</v>
      </c>
      <c r="I359" s="1" t="s">
        <v>30</v>
      </c>
      <c r="J359" s="9">
        <v>44</v>
      </c>
      <c r="K359" s="1" t="str">
        <f>IF(Table1[[#This Row],[AGE]]&lt;=18,"CHILD",IF(Table1[[#This Row],[AGE]]&lt;=20,"TEEN",IF(Table1[[#This Row],[AGE]]&lt;=40,"ADULT",IF(Table1[[#This Row],[AGE]]&lt;=60,"SENIOR CITIZEN","OLD CITIZEN"))))</f>
        <v>SENIOR CITIZEN</v>
      </c>
      <c r="L359" s="1" t="s">
        <v>66</v>
      </c>
      <c r="M359" s="1" t="s">
        <v>25</v>
      </c>
      <c r="N359" s="13">
        <f>VLOOKUP(Table1[[#This Row],[TRANSACTION ID]],'Transaction ID Record'!$C$3:$D$510,2,FALSE)</f>
        <v>125867</v>
      </c>
    </row>
    <row r="360" spans="1:14" x14ac:dyDescent="0.35">
      <c r="A360" s="6" t="str">
        <f>TEXT(Table1[[#This Row],[DATE]],"MMMM")</f>
        <v>September</v>
      </c>
      <c r="B360" s="10">
        <v>44808</v>
      </c>
      <c r="C360" s="1" t="s">
        <v>646</v>
      </c>
      <c r="D360" s="1" t="str">
        <f>UPPER(Table1[[#This Row],[NAME2]])</f>
        <v>WINIFRED OGBONNA</v>
      </c>
      <c r="E360" s="1" t="s">
        <v>647</v>
      </c>
      <c r="F360" s="1" t="s">
        <v>648</v>
      </c>
      <c r="G360" s="1" t="s">
        <v>21</v>
      </c>
      <c r="H360" s="1" t="s">
        <v>649</v>
      </c>
      <c r="I360" s="1" t="s">
        <v>23</v>
      </c>
      <c r="J360" s="9">
        <v>69</v>
      </c>
      <c r="K360" s="1" t="str">
        <f>IF(Table1[[#This Row],[AGE]]&lt;=18,"CHILD",IF(Table1[[#This Row],[AGE]]&lt;=20,"TEEN",IF(Table1[[#This Row],[AGE]]&lt;=40,"ADULT",IF(Table1[[#This Row],[AGE]]&lt;=60,"SENIOR CITIZEN","OLD CITIZEN"))))</f>
        <v>OLD CITIZEN</v>
      </c>
      <c r="L360" s="1" t="s">
        <v>42</v>
      </c>
      <c r="M360" s="1" t="s">
        <v>17</v>
      </c>
      <c r="N360" s="13">
        <f>VLOOKUP(Table1[[#This Row],[TRANSACTION ID]],'Transaction ID Record'!$C$3:$D$510,2,FALSE)</f>
        <v>49537</v>
      </c>
    </row>
    <row r="361" spans="1:14" x14ac:dyDescent="0.35">
      <c r="A361" s="6" t="str">
        <f>TEXT(Table1[[#This Row],[DATE]],"MMMM")</f>
        <v>September</v>
      </c>
      <c r="B361" s="10">
        <v>44808</v>
      </c>
      <c r="C361" s="1" t="s">
        <v>650</v>
      </c>
      <c r="D361" s="1" t="str">
        <f>UPPER(Table1[[#This Row],[NAME2]])</f>
        <v>OKEDIRAN MITCHELL</v>
      </c>
      <c r="E361" s="1" t="s">
        <v>314</v>
      </c>
      <c r="F361" s="1" t="s">
        <v>315</v>
      </c>
      <c r="G361" s="1" t="s">
        <v>21</v>
      </c>
      <c r="H361" s="1" t="s">
        <v>316</v>
      </c>
      <c r="I361" s="1" t="s">
        <v>23</v>
      </c>
      <c r="J361" s="9">
        <v>28</v>
      </c>
      <c r="K361" s="1" t="str">
        <f>IF(Table1[[#This Row],[AGE]]&lt;=18,"CHILD",IF(Table1[[#This Row],[AGE]]&lt;=20,"TEEN",IF(Table1[[#This Row],[AGE]]&lt;=40,"ADULT",IF(Table1[[#This Row],[AGE]]&lt;=60,"SENIOR CITIZEN","OLD CITIZEN"))))</f>
        <v>ADULT</v>
      </c>
      <c r="L361" s="1" t="s">
        <v>66</v>
      </c>
      <c r="M361" s="1" t="s">
        <v>61</v>
      </c>
      <c r="N361" s="13">
        <f>VLOOKUP(Table1[[#This Row],[TRANSACTION ID]],'Transaction ID Record'!$C$3:$D$510,2,FALSE)</f>
        <v>132331</v>
      </c>
    </row>
    <row r="362" spans="1:14" x14ac:dyDescent="0.35">
      <c r="A362" s="6" t="str">
        <f>TEXT(Table1[[#This Row],[DATE]],"MMMM")</f>
        <v>September</v>
      </c>
      <c r="B362" s="10">
        <v>44809</v>
      </c>
      <c r="C362" s="1" t="s">
        <v>651</v>
      </c>
      <c r="D362" s="1" t="str">
        <f>UPPER(Table1[[#This Row],[NAME2]])</f>
        <v>SAHEED THOMAS</v>
      </c>
      <c r="E362" s="1" t="s">
        <v>443</v>
      </c>
      <c r="F362" s="1" t="s">
        <v>830</v>
      </c>
      <c r="G362" s="1" t="s">
        <v>13</v>
      </c>
      <c r="H362" s="1" t="s">
        <v>444</v>
      </c>
      <c r="I362" s="1" t="s">
        <v>15</v>
      </c>
      <c r="J362" s="9">
        <v>28</v>
      </c>
      <c r="K362" s="1" t="str">
        <f>IF(Table1[[#This Row],[AGE]]&lt;=18,"CHILD",IF(Table1[[#This Row],[AGE]]&lt;=20,"TEEN",IF(Table1[[#This Row],[AGE]]&lt;=40,"ADULT",IF(Table1[[#This Row],[AGE]]&lt;=60,"SENIOR CITIZEN","OLD CITIZEN"))))</f>
        <v>ADULT</v>
      </c>
      <c r="L362" s="1" t="s">
        <v>42</v>
      </c>
      <c r="M362" s="1" t="s">
        <v>25</v>
      </c>
      <c r="N362" s="13">
        <f>VLOOKUP(Table1[[#This Row],[TRANSACTION ID]],'Transaction ID Record'!$C$3:$D$510,2,FALSE)</f>
        <v>47651</v>
      </c>
    </row>
    <row r="363" spans="1:14" x14ac:dyDescent="0.35">
      <c r="A363" s="6" t="str">
        <f>TEXT(Table1[[#This Row],[DATE]],"MMMM")</f>
        <v>September</v>
      </c>
      <c r="B363" s="10">
        <v>44810</v>
      </c>
      <c r="C363" s="1" t="s">
        <v>652</v>
      </c>
      <c r="D363" s="1" t="str">
        <f>UPPER(Table1[[#This Row],[NAME2]])</f>
        <v>EMERSON PANOVSKY</v>
      </c>
      <c r="E363" s="1" t="s">
        <v>75</v>
      </c>
      <c r="F363" s="1" t="s">
        <v>76</v>
      </c>
      <c r="G363" s="1" t="s">
        <v>21</v>
      </c>
      <c r="H363" s="1" t="s">
        <v>77</v>
      </c>
      <c r="I363" s="1" t="s">
        <v>30</v>
      </c>
      <c r="J363" s="9">
        <v>19</v>
      </c>
      <c r="K363" s="1" t="str">
        <f>IF(Table1[[#This Row],[AGE]]&lt;=18,"CHILD",IF(Table1[[#This Row],[AGE]]&lt;=20,"TEEN",IF(Table1[[#This Row],[AGE]]&lt;=40,"ADULT",IF(Table1[[#This Row],[AGE]]&lt;=60,"SENIOR CITIZEN","OLD CITIZEN"))))</f>
        <v>TEEN</v>
      </c>
      <c r="L363" s="1" t="s">
        <v>167</v>
      </c>
      <c r="M363" s="1" t="s">
        <v>25</v>
      </c>
      <c r="N363" s="13">
        <f>VLOOKUP(Table1[[#This Row],[TRANSACTION ID]],'Transaction ID Record'!$C$3:$D$510,2,FALSE)</f>
        <v>91596</v>
      </c>
    </row>
    <row r="364" spans="1:14" x14ac:dyDescent="0.35">
      <c r="A364" s="6" t="str">
        <f>TEXT(Table1[[#This Row],[DATE]],"MMMM")</f>
        <v>September</v>
      </c>
      <c r="B364" s="10">
        <v>44810</v>
      </c>
      <c r="C364" s="1" t="s">
        <v>653</v>
      </c>
      <c r="D364" s="1" t="str">
        <f>UPPER(Table1[[#This Row],[NAME2]])</f>
        <v>NYSSA WALTON</v>
      </c>
      <c r="E364" s="1" t="s">
        <v>590</v>
      </c>
      <c r="F364" s="1" t="s">
        <v>591</v>
      </c>
      <c r="G364" s="1" t="s">
        <v>13</v>
      </c>
      <c r="H364" s="1" t="s">
        <v>592</v>
      </c>
      <c r="I364" s="1" t="s">
        <v>30</v>
      </c>
      <c r="J364" s="9">
        <v>44</v>
      </c>
      <c r="K364" s="1" t="str">
        <f>IF(Table1[[#This Row],[AGE]]&lt;=18,"CHILD",IF(Table1[[#This Row],[AGE]]&lt;=20,"TEEN",IF(Table1[[#This Row],[AGE]]&lt;=40,"ADULT",IF(Table1[[#This Row],[AGE]]&lt;=60,"SENIOR CITIZEN","OLD CITIZEN"))))</f>
        <v>SENIOR CITIZEN</v>
      </c>
      <c r="L364" s="1" t="s">
        <v>66</v>
      </c>
      <c r="M364" s="1" t="s">
        <v>25</v>
      </c>
      <c r="N364" s="13">
        <f>VLOOKUP(Table1[[#This Row],[TRANSACTION ID]],'Transaction ID Record'!$C$3:$D$510,2,FALSE)</f>
        <v>68010</v>
      </c>
    </row>
    <row r="365" spans="1:14" x14ac:dyDescent="0.35">
      <c r="A365" s="6" t="str">
        <f>TEXT(Table1[[#This Row],[DATE]],"MMMM")</f>
        <v>September</v>
      </c>
      <c r="B365" s="10">
        <v>44810</v>
      </c>
      <c r="C365" s="1" t="s">
        <v>654</v>
      </c>
      <c r="D365" s="1" t="str">
        <f>UPPER(Table1[[#This Row],[NAME2]])</f>
        <v>ADENIYI WEAVER</v>
      </c>
      <c r="E365" s="1" t="s">
        <v>196</v>
      </c>
      <c r="F365" s="1" t="s">
        <v>197</v>
      </c>
      <c r="G365" s="1" t="s">
        <v>13</v>
      </c>
      <c r="H365" s="1" t="s">
        <v>198</v>
      </c>
      <c r="I365" s="1" t="s">
        <v>30</v>
      </c>
      <c r="J365" s="9">
        <v>39</v>
      </c>
      <c r="K365" s="1" t="str">
        <f>IF(Table1[[#This Row],[AGE]]&lt;=18,"CHILD",IF(Table1[[#This Row],[AGE]]&lt;=20,"TEEN",IF(Table1[[#This Row],[AGE]]&lt;=40,"ADULT",IF(Table1[[#This Row],[AGE]]&lt;=60,"SENIOR CITIZEN","OLD CITIZEN"))))</f>
        <v>ADULT</v>
      </c>
      <c r="L365" s="1" t="s">
        <v>42</v>
      </c>
      <c r="M365" s="1" t="s">
        <v>25</v>
      </c>
      <c r="N365" s="13">
        <f>VLOOKUP(Table1[[#This Row],[TRANSACTION ID]],'Transaction ID Record'!$C$3:$D$510,2,FALSE)</f>
        <v>25464</v>
      </c>
    </row>
    <row r="366" spans="1:14" x14ac:dyDescent="0.35">
      <c r="A366" s="6" t="str">
        <f>TEXT(Table1[[#This Row],[DATE]],"MMMM")</f>
        <v>September</v>
      </c>
      <c r="B366" s="10">
        <v>44811</v>
      </c>
      <c r="C366" s="1" t="s">
        <v>655</v>
      </c>
      <c r="D366" s="1" t="str">
        <f>UPPER(Table1[[#This Row],[NAME2]])</f>
        <v>FLETCHER MERRITT</v>
      </c>
      <c r="E366" s="1" t="s">
        <v>361</v>
      </c>
      <c r="F366" s="1" t="s">
        <v>362</v>
      </c>
      <c r="G366" s="1" t="s">
        <v>21</v>
      </c>
      <c r="H366" s="1" t="s">
        <v>363</v>
      </c>
      <c r="I366" s="1" t="s">
        <v>15</v>
      </c>
      <c r="J366" s="9">
        <v>66</v>
      </c>
      <c r="K366" s="1" t="str">
        <f>IF(Table1[[#This Row],[AGE]]&lt;=18,"CHILD",IF(Table1[[#This Row],[AGE]]&lt;=20,"TEEN",IF(Table1[[#This Row],[AGE]]&lt;=40,"ADULT",IF(Table1[[#This Row],[AGE]]&lt;=60,"SENIOR CITIZEN","OLD CITIZEN"))))</f>
        <v>OLD CITIZEN</v>
      </c>
      <c r="L366" s="1" t="s">
        <v>42</v>
      </c>
      <c r="M366" s="1" t="s">
        <v>47</v>
      </c>
      <c r="N366" s="13">
        <f>VLOOKUP(Table1[[#This Row],[TRANSACTION ID]],'Transaction ID Record'!$C$3:$D$510,2,FALSE)</f>
        <v>29271</v>
      </c>
    </row>
    <row r="367" spans="1:14" x14ac:dyDescent="0.35">
      <c r="A367" s="6" t="str">
        <f>TEXT(Table1[[#This Row],[DATE]],"MMMM")</f>
        <v>September</v>
      </c>
      <c r="B367" s="10">
        <v>44811</v>
      </c>
      <c r="C367" s="1" t="s">
        <v>656</v>
      </c>
      <c r="D367" s="1" t="str">
        <f>UPPER(Table1[[#This Row],[NAME2]])</f>
        <v>EMERSON PANOVSKY</v>
      </c>
      <c r="E367" s="1" t="s">
        <v>75</v>
      </c>
      <c r="F367" s="1" t="s">
        <v>76</v>
      </c>
      <c r="G367" s="1" t="s">
        <v>21</v>
      </c>
      <c r="H367" s="1" t="s">
        <v>77</v>
      </c>
      <c r="I367" s="1" t="s">
        <v>30</v>
      </c>
      <c r="J367" s="9">
        <v>19</v>
      </c>
      <c r="K367" s="1" t="str">
        <f>IF(Table1[[#This Row],[AGE]]&lt;=18,"CHILD",IF(Table1[[#This Row],[AGE]]&lt;=20,"TEEN",IF(Table1[[#This Row],[AGE]]&lt;=40,"ADULT",IF(Table1[[#This Row],[AGE]]&lt;=60,"SENIOR CITIZEN","OLD CITIZEN"))))</f>
        <v>TEEN</v>
      </c>
      <c r="L367" s="1" t="s">
        <v>31</v>
      </c>
      <c r="M367" s="1" t="s">
        <v>25</v>
      </c>
      <c r="N367" s="13">
        <f>VLOOKUP(Table1[[#This Row],[TRANSACTION ID]],'Transaction ID Record'!$C$3:$D$510,2,FALSE)</f>
        <v>30494</v>
      </c>
    </row>
    <row r="368" spans="1:14" x14ac:dyDescent="0.35">
      <c r="A368" s="6" t="str">
        <f>TEXT(Table1[[#This Row],[DATE]],"MMMM")</f>
        <v>September</v>
      </c>
      <c r="B368" s="10">
        <v>44811</v>
      </c>
      <c r="C368" s="1" t="s">
        <v>657</v>
      </c>
      <c r="D368" s="1" t="str">
        <f>UPPER(Table1[[#This Row],[NAME2]])</f>
        <v>JARED DENNIS</v>
      </c>
      <c r="E368" s="1" t="s">
        <v>388</v>
      </c>
      <c r="F368" s="1" t="s">
        <v>389</v>
      </c>
      <c r="G368" s="1" t="s">
        <v>13</v>
      </c>
      <c r="H368" s="1" t="s">
        <v>390</v>
      </c>
      <c r="I368" s="1" t="s">
        <v>23</v>
      </c>
      <c r="J368" s="9">
        <v>76</v>
      </c>
      <c r="K368" s="1" t="str">
        <f>IF(Table1[[#This Row],[AGE]]&lt;=18,"CHILD",IF(Table1[[#This Row],[AGE]]&lt;=20,"TEEN",IF(Table1[[#This Row],[AGE]]&lt;=40,"ADULT",IF(Table1[[#This Row],[AGE]]&lt;=60,"SENIOR CITIZEN","OLD CITIZEN"))))</f>
        <v>OLD CITIZEN</v>
      </c>
      <c r="L368" s="1" t="s">
        <v>57</v>
      </c>
      <c r="M368" s="1" t="s">
        <v>47</v>
      </c>
      <c r="N368" s="13">
        <f>VLOOKUP(Table1[[#This Row],[TRANSACTION ID]],'Transaction ID Record'!$C$3:$D$510,2,FALSE)</f>
        <v>161295</v>
      </c>
    </row>
    <row r="369" spans="1:14" x14ac:dyDescent="0.35">
      <c r="A369" s="6" t="str">
        <f>TEXT(Table1[[#This Row],[DATE]],"MMMM")</f>
        <v>September</v>
      </c>
      <c r="B369" s="10">
        <v>44811</v>
      </c>
      <c r="C369" s="1" t="s">
        <v>658</v>
      </c>
      <c r="D369" s="1" t="str">
        <f>UPPER(Table1[[#This Row],[NAME2]])</f>
        <v>TAIBAT DENNIS</v>
      </c>
      <c r="E369" s="1" t="s">
        <v>327</v>
      </c>
      <c r="F369" s="1" t="s">
        <v>328</v>
      </c>
      <c r="G369" s="1" t="s">
        <v>13</v>
      </c>
      <c r="H369" s="1" t="s">
        <v>329</v>
      </c>
      <c r="I369" s="1" t="s">
        <v>23</v>
      </c>
      <c r="J369" s="9">
        <v>37</v>
      </c>
      <c r="K369" s="1" t="str">
        <f>IF(Table1[[#This Row],[AGE]]&lt;=18,"CHILD",IF(Table1[[#This Row],[AGE]]&lt;=20,"TEEN",IF(Table1[[#This Row],[AGE]]&lt;=40,"ADULT",IF(Table1[[#This Row],[AGE]]&lt;=60,"SENIOR CITIZEN","OLD CITIZEN"))))</f>
        <v>ADULT</v>
      </c>
      <c r="L369" s="1" t="s">
        <v>16</v>
      </c>
      <c r="M369" s="1" t="s">
        <v>47</v>
      </c>
      <c r="N369" s="13">
        <f>VLOOKUP(Table1[[#This Row],[TRANSACTION ID]],'Transaction ID Record'!$C$3:$D$510,2,FALSE)</f>
        <v>66921</v>
      </c>
    </row>
    <row r="370" spans="1:14" x14ac:dyDescent="0.35">
      <c r="A370" s="6" t="str">
        <f>TEXT(Table1[[#This Row],[DATE]],"MMMM")</f>
        <v>September</v>
      </c>
      <c r="B370" s="10">
        <v>44812</v>
      </c>
      <c r="C370" s="1" t="s">
        <v>659</v>
      </c>
      <c r="D370" s="1" t="str">
        <f>UPPER(Table1[[#This Row],[NAME2]])</f>
        <v>OKEDIRAN MITCHELL</v>
      </c>
      <c r="E370" s="1" t="s">
        <v>314</v>
      </c>
      <c r="F370" s="1" t="s">
        <v>315</v>
      </c>
      <c r="G370" s="1" t="s">
        <v>21</v>
      </c>
      <c r="H370" s="1" t="s">
        <v>316</v>
      </c>
      <c r="I370" s="1" t="s">
        <v>23</v>
      </c>
      <c r="J370" s="9">
        <v>28</v>
      </c>
      <c r="K370" s="1" t="str">
        <f>IF(Table1[[#This Row],[AGE]]&lt;=18,"CHILD",IF(Table1[[#This Row],[AGE]]&lt;=20,"TEEN",IF(Table1[[#This Row],[AGE]]&lt;=40,"ADULT",IF(Table1[[#This Row],[AGE]]&lt;=60,"SENIOR CITIZEN","OLD CITIZEN"))))</f>
        <v>ADULT</v>
      </c>
      <c r="L370" s="1" t="s">
        <v>52</v>
      </c>
      <c r="M370" s="1" t="s">
        <v>25</v>
      </c>
      <c r="N370" s="13">
        <f>VLOOKUP(Table1[[#This Row],[TRANSACTION ID]],'Transaction ID Record'!$C$3:$D$510,2,FALSE)</f>
        <v>35878</v>
      </c>
    </row>
    <row r="371" spans="1:14" x14ac:dyDescent="0.35">
      <c r="A371" s="6" t="str">
        <f>TEXT(Table1[[#This Row],[DATE]],"MMMM")</f>
        <v>September</v>
      </c>
      <c r="B371" s="10">
        <v>44812</v>
      </c>
      <c r="C371" s="1" t="s">
        <v>660</v>
      </c>
      <c r="D371" s="1" t="str">
        <f>UPPER(Table1[[#This Row],[NAME2]])</f>
        <v>JOY CALLISTUS</v>
      </c>
      <c r="E371" s="1" t="s">
        <v>546</v>
      </c>
      <c r="F371" s="1" t="s">
        <v>547</v>
      </c>
      <c r="G371" s="1" t="s">
        <v>21</v>
      </c>
      <c r="H371" s="1" t="s">
        <v>548</v>
      </c>
      <c r="I371" s="1" t="s">
        <v>15</v>
      </c>
      <c r="J371" s="9">
        <v>36</v>
      </c>
      <c r="K371" s="1" t="str">
        <f>IF(Table1[[#This Row],[AGE]]&lt;=18,"CHILD",IF(Table1[[#This Row],[AGE]]&lt;=20,"TEEN",IF(Table1[[#This Row],[AGE]]&lt;=40,"ADULT",IF(Table1[[#This Row],[AGE]]&lt;=60,"SENIOR CITIZEN","OLD CITIZEN"))))</f>
        <v>ADULT</v>
      </c>
      <c r="L371" s="1" t="s">
        <v>52</v>
      </c>
      <c r="M371" s="1" t="s">
        <v>47</v>
      </c>
      <c r="N371" s="13">
        <f>VLOOKUP(Table1[[#This Row],[TRANSACTION ID]],'Transaction ID Record'!$C$3:$D$510,2,FALSE)</f>
        <v>52938</v>
      </c>
    </row>
    <row r="372" spans="1:14" x14ac:dyDescent="0.35">
      <c r="A372" s="6" t="str">
        <f>TEXT(Table1[[#This Row],[DATE]],"MMMM")</f>
        <v>September</v>
      </c>
      <c r="B372" s="10">
        <v>44813</v>
      </c>
      <c r="C372" s="1" t="s">
        <v>661</v>
      </c>
      <c r="D372" s="1" t="str">
        <f>UPPER(Table1[[#This Row],[NAME2]])</f>
        <v>OMOLARA FERRIS</v>
      </c>
      <c r="E372" s="1" t="s">
        <v>183</v>
      </c>
      <c r="F372" s="1" t="s">
        <v>184</v>
      </c>
      <c r="G372" s="1" t="s">
        <v>21</v>
      </c>
      <c r="H372" s="1" t="s">
        <v>185</v>
      </c>
      <c r="I372" s="1" t="s">
        <v>15</v>
      </c>
      <c r="J372" s="9">
        <v>25</v>
      </c>
      <c r="K372" s="1" t="str">
        <f>IF(Table1[[#This Row],[AGE]]&lt;=18,"CHILD",IF(Table1[[#This Row],[AGE]]&lt;=20,"TEEN",IF(Table1[[#This Row],[AGE]]&lt;=40,"ADULT",IF(Table1[[#This Row],[AGE]]&lt;=60,"SENIOR CITIZEN","OLD CITIZEN"))))</f>
        <v>ADULT</v>
      </c>
      <c r="L372" s="1" t="s">
        <v>66</v>
      </c>
      <c r="M372" s="1" t="s">
        <v>47</v>
      </c>
      <c r="N372" s="13">
        <f>VLOOKUP(Table1[[#This Row],[TRANSACTION ID]],'Transaction ID Record'!$C$3:$D$510,2,FALSE)</f>
        <v>182735</v>
      </c>
    </row>
    <row r="373" spans="1:14" x14ac:dyDescent="0.35">
      <c r="A373" s="6" t="str">
        <f>TEXT(Table1[[#This Row],[DATE]],"MMMM")</f>
        <v>September</v>
      </c>
      <c r="B373" s="10">
        <v>44814</v>
      </c>
      <c r="C373" s="1" t="s">
        <v>662</v>
      </c>
      <c r="D373" s="1" t="str">
        <f>UPPER(Table1[[#This Row],[NAME2]])</f>
        <v>OLUWAFUNMI JAMES</v>
      </c>
      <c r="E373" s="1" t="s">
        <v>462</v>
      </c>
      <c r="F373" s="1" t="s">
        <v>831</v>
      </c>
      <c r="G373" s="1" t="s">
        <v>13</v>
      </c>
      <c r="H373" s="1" t="s">
        <v>463</v>
      </c>
      <c r="I373" s="1" t="s">
        <v>23</v>
      </c>
      <c r="J373" s="9">
        <v>48</v>
      </c>
      <c r="K373" s="1" t="str">
        <f>IF(Table1[[#This Row],[AGE]]&lt;=18,"CHILD",IF(Table1[[#This Row],[AGE]]&lt;=20,"TEEN",IF(Table1[[#This Row],[AGE]]&lt;=40,"ADULT",IF(Table1[[#This Row],[AGE]]&lt;=60,"SENIOR CITIZEN","OLD CITIZEN"))))</f>
        <v>SENIOR CITIZEN</v>
      </c>
      <c r="L373" s="1" t="s">
        <v>24</v>
      </c>
      <c r="M373" s="1" t="s">
        <v>47</v>
      </c>
      <c r="N373" s="13">
        <f>VLOOKUP(Table1[[#This Row],[TRANSACTION ID]],'Transaction ID Record'!$C$3:$D$510,2,FALSE)</f>
        <v>59908</v>
      </c>
    </row>
    <row r="374" spans="1:14" x14ac:dyDescent="0.35">
      <c r="A374" s="6" t="str">
        <f>TEXT(Table1[[#This Row],[DATE]],"MMMM")</f>
        <v>September</v>
      </c>
      <c r="B374" s="10">
        <v>44815</v>
      </c>
      <c r="C374" s="1" t="s">
        <v>663</v>
      </c>
      <c r="D374" s="1" t="str">
        <f>UPPER(Table1[[#This Row],[NAME2]])</f>
        <v>HIROKO PANOVSKY</v>
      </c>
      <c r="E374" s="1" t="s">
        <v>100</v>
      </c>
      <c r="F374" s="1" t="s">
        <v>101</v>
      </c>
      <c r="G374" s="1" t="s">
        <v>13</v>
      </c>
      <c r="H374" s="1" t="s">
        <v>102</v>
      </c>
      <c r="I374" s="1" t="s">
        <v>15</v>
      </c>
      <c r="J374" s="9">
        <v>59</v>
      </c>
      <c r="K374" s="1" t="str">
        <f>IF(Table1[[#This Row],[AGE]]&lt;=18,"CHILD",IF(Table1[[#This Row],[AGE]]&lt;=20,"TEEN",IF(Table1[[#This Row],[AGE]]&lt;=40,"ADULT",IF(Table1[[#This Row],[AGE]]&lt;=60,"SENIOR CITIZEN","OLD CITIZEN"))))</f>
        <v>SENIOR CITIZEN</v>
      </c>
      <c r="L374" s="1" t="s">
        <v>24</v>
      </c>
      <c r="M374" s="1" t="s">
        <v>47</v>
      </c>
      <c r="N374" s="13">
        <f>VLOOKUP(Table1[[#This Row],[TRANSACTION ID]],'Transaction ID Record'!$C$3:$D$510,2,FALSE)</f>
        <v>179775</v>
      </c>
    </row>
    <row r="375" spans="1:14" x14ac:dyDescent="0.35">
      <c r="A375" s="6" t="str">
        <f>TEXT(Table1[[#This Row],[DATE]],"MMMM")</f>
        <v>September</v>
      </c>
      <c r="B375" s="10">
        <v>44816</v>
      </c>
      <c r="C375" s="1" t="s">
        <v>664</v>
      </c>
      <c r="D375" s="1" t="str">
        <f>UPPER(Table1[[#This Row],[NAME2]])</f>
        <v>OLUDAISI JOHNSON</v>
      </c>
      <c r="E375" s="1" t="s">
        <v>259</v>
      </c>
      <c r="F375" s="1" t="s">
        <v>818</v>
      </c>
      <c r="G375" s="1" t="s">
        <v>21</v>
      </c>
      <c r="H375" s="1" t="s">
        <v>260</v>
      </c>
      <c r="I375" s="1" t="s">
        <v>30</v>
      </c>
      <c r="J375" s="9">
        <v>45</v>
      </c>
      <c r="K375" s="1" t="str">
        <f>IF(Table1[[#This Row],[AGE]]&lt;=18,"CHILD",IF(Table1[[#This Row],[AGE]]&lt;=20,"TEEN",IF(Table1[[#This Row],[AGE]]&lt;=40,"ADULT",IF(Table1[[#This Row],[AGE]]&lt;=60,"SENIOR CITIZEN","OLD CITIZEN"))))</f>
        <v>SENIOR CITIZEN</v>
      </c>
      <c r="L375" s="1" t="s">
        <v>16</v>
      </c>
      <c r="M375" s="1" t="s">
        <v>32</v>
      </c>
      <c r="N375" s="13">
        <f>VLOOKUP(Table1[[#This Row],[TRANSACTION ID]],'Transaction ID Record'!$C$3:$D$510,2,FALSE)</f>
        <v>33291</v>
      </c>
    </row>
    <row r="376" spans="1:14" x14ac:dyDescent="0.35">
      <c r="A376" s="6" t="str">
        <f>TEXT(Table1[[#This Row],[DATE]],"MMMM")</f>
        <v>September</v>
      </c>
      <c r="B376" s="10">
        <v>44816</v>
      </c>
      <c r="C376" s="1" t="s">
        <v>665</v>
      </c>
      <c r="D376" s="1" t="str">
        <f>UPPER(Table1[[#This Row],[NAME2]])</f>
        <v>ODUMOSU DUKE</v>
      </c>
      <c r="E376" s="1" t="s">
        <v>59</v>
      </c>
      <c r="F376" s="1" t="s">
        <v>800</v>
      </c>
      <c r="G376" s="1" t="s">
        <v>13</v>
      </c>
      <c r="H376" s="1" t="s">
        <v>60</v>
      </c>
      <c r="I376" s="1" t="s">
        <v>15</v>
      </c>
      <c r="J376" s="9">
        <v>48</v>
      </c>
      <c r="K376" s="1" t="str">
        <f>IF(Table1[[#This Row],[AGE]]&lt;=18,"CHILD",IF(Table1[[#This Row],[AGE]]&lt;=20,"TEEN",IF(Table1[[#This Row],[AGE]]&lt;=40,"ADULT",IF(Table1[[#This Row],[AGE]]&lt;=60,"SENIOR CITIZEN","OLD CITIZEN"))))</f>
        <v>SENIOR CITIZEN</v>
      </c>
      <c r="L376" s="1" t="s">
        <v>52</v>
      </c>
      <c r="M376" s="1" t="s">
        <v>61</v>
      </c>
      <c r="N376" s="13">
        <f>VLOOKUP(Table1[[#This Row],[TRANSACTION ID]],'Transaction ID Record'!$C$3:$D$510,2,FALSE)</f>
        <v>179678</v>
      </c>
    </row>
    <row r="377" spans="1:14" x14ac:dyDescent="0.35">
      <c r="A377" s="6" t="str">
        <f>TEXT(Table1[[#This Row],[DATE]],"MMMM")</f>
        <v>September</v>
      </c>
      <c r="B377" s="10">
        <v>44816</v>
      </c>
      <c r="C377" s="1" t="s">
        <v>666</v>
      </c>
      <c r="D377" s="1" t="str">
        <f>UPPER(Table1[[#This Row],[NAME2]])</f>
        <v>IVORY SELHORST</v>
      </c>
      <c r="E377" s="1" t="s">
        <v>71</v>
      </c>
      <c r="F377" s="1" t="s">
        <v>802</v>
      </c>
      <c r="G377" s="1" t="s">
        <v>21</v>
      </c>
      <c r="H377" s="1" t="s">
        <v>72</v>
      </c>
      <c r="I377" s="1" t="s">
        <v>23</v>
      </c>
      <c r="J377" s="9">
        <v>54</v>
      </c>
      <c r="K377" s="1" t="str">
        <f>IF(Table1[[#This Row],[AGE]]&lt;=18,"CHILD",IF(Table1[[#This Row],[AGE]]&lt;=20,"TEEN",IF(Table1[[#This Row],[AGE]]&lt;=40,"ADULT",IF(Table1[[#This Row],[AGE]]&lt;=60,"SENIOR CITIZEN","OLD CITIZEN"))))</f>
        <v>SENIOR CITIZEN</v>
      </c>
      <c r="L377" s="1" t="s">
        <v>16</v>
      </c>
      <c r="M377" s="1" t="s">
        <v>47</v>
      </c>
      <c r="N377" s="13">
        <f>VLOOKUP(Table1[[#This Row],[TRANSACTION ID]],'Transaction ID Record'!$C$3:$D$510,2,FALSE)</f>
        <v>122851</v>
      </c>
    </row>
    <row r="378" spans="1:14" x14ac:dyDescent="0.35">
      <c r="A378" s="6" t="str">
        <f>TEXT(Table1[[#This Row],[DATE]],"MMMM")</f>
        <v>September</v>
      </c>
      <c r="B378" s="10">
        <v>44817</v>
      </c>
      <c r="C378" s="1" t="s">
        <v>667</v>
      </c>
      <c r="D378" s="1" t="str">
        <f>UPPER(Table1[[#This Row],[NAME2]])</f>
        <v>ODUMOSU DUKE</v>
      </c>
      <c r="E378" s="1" t="s">
        <v>59</v>
      </c>
      <c r="F378" s="1" t="s">
        <v>800</v>
      </c>
      <c r="G378" s="1" t="s">
        <v>13</v>
      </c>
      <c r="H378" s="1" t="s">
        <v>60</v>
      </c>
      <c r="I378" s="1" t="s">
        <v>15</v>
      </c>
      <c r="J378" s="9">
        <v>48</v>
      </c>
      <c r="K378" s="1" t="str">
        <f>IF(Table1[[#This Row],[AGE]]&lt;=18,"CHILD",IF(Table1[[#This Row],[AGE]]&lt;=20,"TEEN",IF(Table1[[#This Row],[AGE]]&lt;=40,"ADULT",IF(Table1[[#This Row],[AGE]]&lt;=60,"SENIOR CITIZEN","OLD CITIZEN"))))</f>
        <v>SENIOR CITIZEN</v>
      </c>
      <c r="L378" s="1" t="s">
        <v>42</v>
      </c>
      <c r="M378" s="1" t="s">
        <v>17</v>
      </c>
      <c r="N378" s="13">
        <f>VLOOKUP(Table1[[#This Row],[TRANSACTION ID]],'Transaction ID Record'!$C$3:$D$510,2,FALSE)</f>
        <v>98026</v>
      </c>
    </row>
    <row r="379" spans="1:14" x14ac:dyDescent="0.35">
      <c r="A379" s="6" t="str">
        <f>TEXT(Table1[[#This Row],[DATE]],"MMMM")</f>
        <v>September</v>
      </c>
      <c r="B379" s="10">
        <v>44819</v>
      </c>
      <c r="C379" s="1" t="s">
        <v>668</v>
      </c>
      <c r="D379" s="1" t="str">
        <f>UPPER(Table1[[#This Row],[NAME2]])</f>
        <v>NOEL MACK</v>
      </c>
      <c r="E379" s="1" t="s">
        <v>275</v>
      </c>
      <c r="F379" s="1" t="s">
        <v>276</v>
      </c>
      <c r="G379" s="1" t="s">
        <v>13</v>
      </c>
      <c r="H379" s="1" t="s">
        <v>277</v>
      </c>
      <c r="I379" s="1" t="s">
        <v>30</v>
      </c>
      <c r="J379" s="9">
        <v>64</v>
      </c>
      <c r="K379" s="1" t="str">
        <f>IF(Table1[[#This Row],[AGE]]&lt;=18,"CHILD",IF(Table1[[#This Row],[AGE]]&lt;=20,"TEEN",IF(Table1[[#This Row],[AGE]]&lt;=40,"ADULT",IF(Table1[[#This Row],[AGE]]&lt;=60,"SENIOR CITIZEN","OLD CITIZEN"))))</f>
        <v>OLD CITIZEN</v>
      </c>
      <c r="L379" s="1" t="s">
        <v>31</v>
      </c>
      <c r="M379" s="1" t="s">
        <v>17</v>
      </c>
      <c r="N379" s="13">
        <f>VLOOKUP(Table1[[#This Row],[TRANSACTION ID]],'Transaction ID Record'!$C$3:$D$510,2,FALSE)</f>
        <v>175594</v>
      </c>
    </row>
    <row r="380" spans="1:14" x14ac:dyDescent="0.35">
      <c r="A380" s="6" t="str">
        <f>TEXT(Table1[[#This Row],[DATE]],"MMMM")</f>
        <v>September</v>
      </c>
      <c r="B380" s="10">
        <v>44820</v>
      </c>
      <c r="C380" s="1" t="s">
        <v>669</v>
      </c>
      <c r="D380" s="1" t="str">
        <f>UPPER(Table1[[#This Row],[NAME2]])</f>
        <v>SAWYER HERRIOT</v>
      </c>
      <c r="E380" s="1" t="s">
        <v>567</v>
      </c>
      <c r="F380" s="1" t="s">
        <v>568</v>
      </c>
      <c r="G380" s="1" t="s">
        <v>13</v>
      </c>
      <c r="H380" s="1" t="s">
        <v>569</v>
      </c>
      <c r="I380" s="1" t="s">
        <v>15</v>
      </c>
      <c r="J380" s="9">
        <v>34</v>
      </c>
      <c r="K380" s="1" t="str">
        <f>IF(Table1[[#This Row],[AGE]]&lt;=18,"CHILD",IF(Table1[[#This Row],[AGE]]&lt;=20,"TEEN",IF(Table1[[#This Row],[AGE]]&lt;=40,"ADULT",IF(Table1[[#This Row],[AGE]]&lt;=60,"SENIOR CITIZEN","OLD CITIZEN"))))</f>
        <v>ADULT</v>
      </c>
      <c r="L380" s="1" t="s">
        <v>42</v>
      </c>
      <c r="M380" s="1" t="s">
        <v>47</v>
      </c>
      <c r="N380" s="13">
        <f>VLOOKUP(Table1[[#This Row],[TRANSACTION ID]],'Transaction ID Record'!$C$3:$D$510,2,FALSE)</f>
        <v>148510</v>
      </c>
    </row>
    <row r="381" spans="1:14" x14ac:dyDescent="0.35">
      <c r="A381" s="6" t="str">
        <f>TEXT(Table1[[#This Row],[DATE]],"MMMM")</f>
        <v>September</v>
      </c>
      <c r="B381" s="10">
        <v>44821</v>
      </c>
      <c r="C381" s="1" t="s">
        <v>670</v>
      </c>
      <c r="D381" s="1" t="str">
        <f>UPPER(Table1[[#This Row],[NAME2]])</f>
        <v>BAKARE ANDREA</v>
      </c>
      <c r="E381" s="1" t="s">
        <v>118</v>
      </c>
      <c r="F381" s="1" t="s">
        <v>809</v>
      </c>
      <c r="G381" s="1" t="s">
        <v>21</v>
      </c>
      <c r="H381" s="1" t="s">
        <v>119</v>
      </c>
      <c r="I381" s="1" t="s">
        <v>30</v>
      </c>
      <c r="J381" s="9">
        <v>19</v>
      </c>
      <c r="K381" s="1" t="str">
        <f>IF(Table1[[#This Row],[AGE]]&lt;=18,"CHILD",IF(Table1[[#This Row],[AGE]]&lt;=20,"TEEN",IF(Table1[[#This Row],[AGE]]&lt;=40,"ADULT",IF(Table1[[#This Row],[AGE]]&lt;=60,"SENIOR CITIZEN","OLD CITIZEN"))))</f>
        <v>TEEN</v>
      </c>
      <c r="L381" s="1" t="s">
        <v>31</v>
      </c>
      <c r="M381" s="1" t="s">
        <v>61</v>
      </c>
      <c r="N381" s="13">
        <f>VLOOKUP(Table1[[#This Row],[TRANSACTION ID]],'Transaction ID Record'!$C$3:$D$510,2,FALSE)</f>
        <v>77183</v>
      </c>
    </row>
    <row r="382" spans="1:14" x14ac:dyDescent="0.35">
      <c r="A382" s="6" t="str">
        <f>TEXT(Table1[[#This Row],[DATE]],"MMMM")</f>
        <v>September</v>
      </c>
      <c r="B382" s="10">
        <v>44821</v>
      </c>
      <c r="C382" s="1" t="s">
        <v>671</v>
      </c>
      <c r="D382" s="1" t="str">
        <f>UPPER(Table1[[#This Row],[NAME2]])</f>
        <v>EMERSON PANOVSKY</v>
      </c>
      <c r="E382" s="1" t="s">
        <v>75</v>
      </c>
      <c r="F382" s="1" t="s">
        <v>76</v>
      </c>
      <c r="G382" s="1" t="s">
        <v>21</v>
      </c>
      <c r="H382" s="1" t="s">
        <v>77</v>
      </c>
      <c r="I382" s="1" t="s">
        <v>30</v>
      </c>
      <c r="J382" s="9">
        <v>19</v>
      </c>
      <c r="K382" s="1" t="str">
        <f>IF(Table1[[#This Row],[AGE]]&lt;=18,"CHILD",IF(Table1[[#This Row],[AGE]]&lt;=20,"TEEN",IF(Table1[[#This Row],[AGE]]&lt;=40,"ADULT",IF(Table1[[#This Row],[AGE]]&lt;=60,"SENIOR CITIZEN","OLD CITIZEN"))))</f>
        <v>TEEN</v>
      </c>
      <c r="L382" s="1" t="s">
        <v>16</v>
      </c>
      <c r="M382" s="1" t="s">
        <v>47</v>
      </c>
      <c r="N382" s="13">
        <f>VLOOKUP(Table1[[#This Row],[TRANSACTION ID]],'Transaction ID Record'!$C$3:$D$510,2,FALSE)</f>
        <v>9459</v>
      </c>
    </row>
    <row r="383" spans="1:14" x14ac:dyDescent="0.35">
      <c r="A383" s="6" t="str">
        <f>TEXT(Table1[[#This Row],[DATE]],"MMMM")</f>
        <v>September</v>
      </c>
      <c r="B383" s="10">
        <v>44821</v>
      </c>
      <c r="C383" s="1" t="s">
        <v>672</v>
      </c>
      <c r="D383" s="1" t="str">
        <f>UPPER(Table1[[#This Row],[NAME2]])</f>
        <v>FASINU ADAMS</v>
      </c>
      <c r="E383" s="1" t="s">
        <v>349</v>
      </c>
      <c r="F383" s="1" t="s">
        <v>350</v>
      </c>
      <c r="G383" s="1" t="s">
        <v>13</v>
      </c>
      <c r="H383" s="1" t="s">
        <v>351</v>
      </c>
      <c r="I383" s="1" t="s">
        <v>15</v>
      </c>
      <c r="J383" s="9">
        <v>50</v>
      </c>
      <c r="K383" s="1" t="str">
        <f>IF(Table1[[#This Row],[AGE]]&lt;=18,"CHILD",IF(Table1[[#This Row],[AGE]]&lt;=20,"TEEN",IF(Table1[[#This Row],[AGE]]&lt;=40,"ADULT",IF(Table1[[#This Row],[AGE]]&lt;=60,"SENIOR CITIZEN","OLD CITIZEN"))))</f>
        <v>SENIOR CITIZEN</v>
      </c>
      <c r="L383" s="1" t="s">
        <v>151</v>
      </c>
      <c r="M383" s="1" t="s">
        <v>25</v>
      </c>
      <c r="N383" s="13">
        <f>VLOOKUP(Table1[[#This Row],[TRANSACTION ID]],'Transaction ID Record'!$C$3:$D$510,2,FALSE)</f>
        <v>39515</v>
      </c>
    </row>
    <row r="384" spans="1:14" x14ac:dyDescent="0.35">
      <c r="A384" s="6" t="str">
        <f>TEXT(Table1[[#This Row],[DATE]],"MMMM")</f>
        <v>September</v>
      </c>
      <c r="B384" s="10">
        <v>44821</v>
      </c>
      <c r="C384" s="1" t="s">
        <v>673</v>
      </c>
      <c r="D384" s="1" t="str">
        <f>UPPER(Table1[[#This Row],[NAME2]])</f>
        <v>ISAAC MATT</v>
      </c>
      <c r="E384" s="1" t="s">
        <v>518</v>
      </c>
      <c r="F384" s="1" t="s">
        <v>519</v>
      </c>
      <c r="G384" s="1" t="s">
        <v>13</v>
      </c>
      <c r="H384" s="1" t="s">
        <v>520</v>
      </c>
      <c r="I384" s="1" t="s">
        <v>30</v>
      </c>
      <c r="J384" s="9">
        <v>74</v>
      </c>
      <c r="K384" s="1" t="str">
        <f>IF(Table1[[#This Row],[AGE]]&lt;=18,"CHILD",IF(Table1[[#This Row],[AGE]]&lt;=20,"TEEN",IF(Table1[[#This Row],[AGE]]&lt;=40,"ADULT",IF(Table1[[#This Row],[AGE]]&lt;=60,"SENIOR CITIZEN","OLD CITIZEN"))))</f>
        <v>OLD CITIZEN</v>
      </c>
      <c r="L384" s="1" t="s">
        <v>66</v>
      </c>
      <c r="M384" s="1" t="s">
        <v>47</v>
      </c>
      <c r="N384" s="13">
        <f>VLOOKUP(Table1[[#This Row],[TRANSACTION ID]],'Transaction ID Record'!$C$3:$D$510,2,FALSE)</f>
        <v>56917</v>
      </c>
    </row>
    <row r="385" spans="1:14" x14ac:dyDescent="0.35">
      <c r="A385" s="6" t="str">
        <f>TEXT(Table1[[#This Row],[DATE]],"MMMM")</f>
        <v>September</v>
      </c>
      <c r="B385" s="10">
        <v>44822</v>
      </c>
      <c r="C385" s="1" t="s">
        <v>674</v>
      </c>
      <c r="D385" s="1" t="str">
        <f>UPPER(Table1[[#This Row],[NAME2]])</f>
        <v>BELL JUAREZ</v>
      </c>
      <c r="E385" s="1" t="s">
        <v>68</v>
      </c>
      <c r="F385" s="1" t="s">
        <v>801</v>
      </c>
      <c r="G385" s="1" t="s">
        <v>13</v>
      </c>
      <c r="H385" s="1" t="s">
        <v>69</v>
      </c>
      <c r="I385" s="1" t="s">
        <v>30</v>
      </c>
      <c r="J385" s="9">
        <v>71</v>
      </c>
      <c r="K385" s="1" t="str">
        <f>IF(Table1[[#This Row],[AGE]]&lt;=18,"CHILD",IF(Table1[[#This Row],[AGE]]&lt;=20,"TEEN",IF(Table1[[#This Row],[AGE]]&lt;=40,"ADULT",IF(Table1[[#This Row],[AGE]]&lt;=60,"SENIOR CITIZEN","OLD CITIZEN"))))</f>
        <v>OLD CITIZEN</v>
      </c>
      <c r="L385" s="1" t="s">
        <v>31</v>
      </c>
      <c r="M385" s="1" t="s">
        <v>25</v>
      </c>
      <c r="N385" s="13">
        <f>VLOOKUP(Table1[[#This Row],[TRANSACTION ID]],'Transaction ID Record'!$C$3:$D$510,2,FALSE)</f>
        <v>30808</v>
      </c>
    </row>
    <row r="386" spans="1:14" x14ac:dyDescent="0.35">
      <c r="A386" s="6" t="str">
        <f>TEXT(Table1[[#This Row],[DATE]],"MMMM")</f>
        <v>September</v>
      </c>
      <c r="B386" s="10">
        <v>44823</v>
      </c>
      <c r="C386" s="1" t="s">
        <v>675</v>
      </c>
      <c r="D386" s="1" t="str">
        <f>UPPER(Table1[[#This Row],[NAME2]])</f>
        <v>NYSSA WALTON</v>
      </c>
      <c r="E386" s="1" t="s">
        <v>590</v>
      </c>
      <c r="F386" s="1" t="s">
        <v>591</v>
      </c>
      <c r="G386" s="1" t="s">
        <v>13</v>
      </c>
      <c r="H386" s="1" t="s">
        <v>592</v>
      </c>
      <c r="I386" s="1" t="s">
        <v>30</v>
      </c>
      <c r="J386" s="9">
        <v>44</v>
      </c>
      <c r="K386" s="1" t="str">
        <f>IF(Table1[[#This Row],[AGE]]&lt;=18,"CHILD",IF(Table1[[#This Row],[AGE]]&lt;=20,"TEEN",IF(Table1[[#This Row],[AGE]]&lt;=40,"ADULT",IF(Table1[[#This Row],[AGE]]&lt;=60,"SENIOR CITIZEN","OLD CITIZEN"))))</f>
        <v>SENIOR CITIZEN</v>
      </c>
      <c r="L386" s="1" t="s">
        <v>42</v>
      </c>
      <c r="M386" s="1" t="s">
        <v>25</v>
      </c>
      <c r="N386" s="13">
        <f>VLOOKUP(Table1[[#This Row],[TRANSACTION ID]],'Transaction ID Record'!$C$3:$D$510,2,FALSE)</f>
        <v>144867</v>
      </c>
    </row>
    <row r="387" spans="1:14" x14ac:dyDescent="0.35">
      <c r="A387" s="6" t="str">
        <f>TEXT(Table1[[#This Row],[DATE]],"MMMM")</f>
        <v>September</v>
      </c>
      <c r="B387" s="10">
        <v>44823</v>
      </c>
      <c r="C387" s="1" t="s">
        <v>676</v>
      </c>
      <c r="D387" s="1" t="str">
        <f>UPPER(Table1[[#This Row],[NAME2]])</f>
        <v>ODUMOSU DUKE</v>
      </c>
      <c r="E387" s="1" t="s">
        <v>59</v>
      </c>
      <c r="F387" s="1" t="s">
        <v>800</v>
      </c>
      <c r="G387" s="1" t="s">
        <v>13</v>
      </c>
      <c r="H387" s="1" t="s">
        <v>60</v>
      </c>
      <c r="I387" s="1" t="s">
        <v>15</v>
      </c>
      <c r="J387" s="9">
        <v>48</v>
      </c>
      <c r="K387" s="1" t="str">
        <f>IF(Table1[[#This Row],[AGE]]&lt;=18,"CHILD",IF(Table1[[#This Row],[AGE]]&lt;=20,"TEEN",IF(Table1[[#This Row],[AGE]]&lt;=40,"ADULT",IF(Table1[[#This Row],[AGE]]&lt;=60,"SENIOR CITIZEN","OLD CITIZEN"))))</f>
        <v>SENIOR CITIZEN</v>
      </c>
      <c r="L387" s="1" t="s">
        <v>31</v>
      </c>
      <c r="M387" s="1" t="s">
        <v>17</v>
      </c>
      <c r="N387" s="13">
        <f>VLOOKUP(Table1[[#This Row],[TRANSACTION ID]],'Transaction ID Record'!$C$3:$D$510,2,FALSE)</f>
        <v>92464</v>
      </c>
    </row>
    <row r="388" spans="1:14" x14ac:dyDescent="0.35">
      <c r="A388" s="6" t="str">
        <f>TEXT(Table1[[#This Row],[DATE]],"MMMM")</f>
        <v>September</v>
      </c>
      <c r="B388" s="10">
        <v>44824</v>
      </c>
      <c r="C388" s="1" t="s">
        <v>677</v>
      </c>
      <c r="D388" s="1" t="str">
        <f>UPPER(Table1[[#This Row],[NAME2]])</f>
        <v>AYO VANG</v>
      </c>
      <c r="E388" s="1" t="s">
        <v>272</v>
      </c>
      <c r="F388" s="1" t="s">
        <v>820</v>
      </c>
      <c r="G388" s="1" t="s">
        <v>13</v>
      </c>
      <c r="H388" s="1" t="s">
        <v>273</v>
      </c>
      <c r="I388" s="1" t="s">
        <v>15</v>
      </c>
      <c r="J388" s="9">
        <v>44</v>
      </c>
      <c r="K388" s="1" t="str">
        <f>IF(Table1[[#This Row],[AGE]]&lt;=18,"CHILD",IF(Table1[[#This Row],[AGE]]&lt;=20,"TEEN",IF(Table1[[#This Row],[AGE]]&lt;=40,"ADULT",IF(Table1[[#This Row],[AGE]]&lt;=60,"SENIOR CITIZEN","OLD CITIZEN"))))</f>
        <v>SENIOR CITIZEN</v>
      </c>
      <c r="L388" s="1" t="s">
        <v>66</v>
      </c>
      <c r="M388" s="1" t="s">
        <v>17</v>
      </c>
      <c r="N388" s="13">
        <f>VLOOKUP(Table1[[#This Row],[TRANSACTION ID]],'Transaction ID Record'!$C$3:$D$510,2,FALSE)</f>
        <v>164234</v>
      </c>
    </row>
    <row r="389" spans="1:14" x14ac:dyDescent="0.35">
      <c r="A389" s="6" t="str">
        <f>TEXT(Table1[[#This Row],[DATE]],"MMMM")</f>
        <v>September</v>
      </c>
      <c r="B389" s="10">
        <v>44824</v>
      </c>
      <c r="C389" s="1" t="s">
        <v>678</v>
      </c>
      <c r="D389" s="1" t="str">
        <f>UPPER(Table1[[#This Row],[NAME2]])</f>
        <v>GWENDOLYN APPLE</v>
      </c>
      <c r="E389" s="1" t="s">
        <v>628</v>
      </c>
      <c r="F389" s="1" t="s">
        <v>629</v>
      </c>
      <c r="G389" s="1" t="s">
        <v>13</v>
      </c>
      <c r="H389" s="1" t="s">
        <v>630</v>
      </c>
      <c r="I389" s="1" t="s">
        <v>23</v>
      </c>
      <c r="J389" s="9">
        <v>41</v>
      </c>
      <c r="K389" s="1" t="str">
        <f>IF(Table1[[#This Row],[AGE]]&lt;=18,"CHILD",IF(Table1[[#This Row],[AGE]]&lt;=20,"TEEN",IF(Table1[[#This Row],[AGE]]&lt;=40,"ADULT",IF(Table1[[#This Row],[AGE]]&lt;=60,"SENIOR CITIZEN","OLD CITIZEN"))))</f>
        <v>SENIOR CITIZEN</v>
      </c>
      <c r="L389" s="1" t="s">
        <v>52</v>
      </c>
      <c r="M389" s="1" t="s">
        <v>17</v>
      </c>
      <c r="N389" s="13">
        <f>VLOOKUP(Table1[[#This Row],[TRANSACTION ID]],'Transaction ID Record'!$C$3:$D$510,2,FALSE)</f>
        <v>78069</v>
      </c>
    </row>
    <row r="390" spans="1:14" x14ac:dyDescent="0.35">
      <c r="A390" s="6" t="str">
        <f>TEXT(Table1[[#This Row],[DATE]],"MMMM")</f>
        <v>September</v>
      </c>
      <c r="B390" s="10">
        <v>44826</v>
      </c>
      <c r="C390" s="1" t="s">
        <v>679</v>
      </c>
      <c r="D390" s="1" t="str">
        <f>UPPER(Table1[[#This Row],[NAME2]])</f>
        <v>TOYIN DOUGLAS</v>
      </c>
      <c r="E390" s="1" t="s">
        <v>528</v>
      </c>
      <c r="F390" s="1" t="s">
        <v>529</v>
      </c>
      <c r="G390" s="1" t="s">
        <v>21</v>
      </c>
      <c r="H390" s="1" t="s">
        <v>530</v>
      </c>
      <c r="I390" s="1" t="s">
        <v>15</v>
      </c>
      <c r="J390" s="9">
        <v>50</v>
      </c>
      <c r="K390" s="1" t="str">
        <f>IF(Table1[[#This Row],[AGE]]&lt;=18,"CHILD",IF(Table1[[#This Row],[AGE]]&lt;=20,"TEEN",IF(Table1[[#This Row],[AGE]]&lt;=40,"ADULT",IF(Table1[[#This Row],[AGE]]&lt;=60,"SENIOR CITIZEN","OLD CITIZEN"))))</f>
        <v>SENIOR CITIZEN</v>
      </c>
      <c r="L390" s="1" t="s">
        <v>31</v>
      </c>
      <c r="M390" s="1" t="s">
        <v>32</v>
      </c>
      <c r="N390" s="13">
        <f>VLOOKUP(Table1[[#This Row],[TRANSACTION ID]],'Transaction ID Record'!$C$3:$D$510,2,FALSE)</f>
        <v>74208</v>
      </c>
    </row>
    <row r="391" spans="1:14" x14ac:dyDescent="0.35">
      <c r="A391" s="6" t="str">
        <f>TEXT(Table1[[#This Row],[DATE]],"MMMM")</f>
        <v>September</v>
      </c>
      <c r="B391" s="10">
        <v>44827</v>
      </c>
      <c r="C391" s="1" t="s">
        <v>680</v>
      </c>
      <c r="D391" s="1" t="str">
        <f>UPPER(Table1[[#This Row],[NAME2]])</f>
        <v>ODUMOSU DUKE</v>
      </c>
      <c r="E391" s="1" t="s">
        <v>59</v>
      </c>
      <c r="F391" s="1" t="s">
        <v>800</v>
      </c>
      <c r="G391" s="1" t="s">
        <v>13</v>
      </c>
      <c r="H391" s="1" t="s">
        <v>60</v>
      </c>
      <c r="I391" s="1" t="s">
        <v>15</v>
      </c>
      <c r="J391" s="9">
        <v>48</v>
      </c>
      <c r="K391" s="1" t="str">
        <f>IF(Table1[[#This Row],[AGE]]&lt;=18,"CHILD",IF(Table1[[#This Row],[AGE]]&lt;=20,"TEEN",IF(Table1[[#This Row],[AGE]]&lt;=40,"ADULT",IF(Table1[[#This Row],[AGE]]&lt;=60,"SENIOR CITIZEN","OLD CITIZEN"))))</f>
        <v>SENIOR CITIZEN</v>
      </c>
      <c r="L391" s="1" t="s">
        <v>66</v>
      </c>
      <c r="M391" s="1" t="s">
        <v>47</v>
      </c>
      <c r="N391" s="13">
        <f>VLOOKUP(Table1[[#This Row],[TRANSACTION ID]],'Transaction ID Record'!$C$3:$D$510,2,FALSE)</f>
        <v>167637</v>
      </c>
    </row>
    <row r="392" spans="1:14" x14ac:dyDescent="0.35">
      <c r="A392" s="6" t="str">
        <f>TEXT(Table1[[#This Row],[DATE]],"MMMM")</f>
        <v>September</v>
      </c>
      <c r="B392" s="10">
        <v>44831</v>
      </c>
      <c r="C392" s="1" t="s">
        <v>681</v>
      </c>
      <c r="D392" s="1" t="str">
        <f>UPPER(Table1[[#This Row],[NAME2]])</f>
        <v>FASINU GUZZO</v>
      </c>
      <c r="E392" s="1" t="s">
        <v>49</v>
      </c>
      <c r="F392" s="1" t="s">
        <v>50</v>
      </c>
      <c r="G392" s="1" t="s">
        <v>13</v>
      </c>
      <c r="H392" s="1" t="s">
        <v>51</v>
      </c>
      <c r="I392" s="1" t="s">
        <v>15</v>
      </c>
      <c r="J392" s="9">
        <v>61</v>
      </c>
      <c r="K392" s="1" t="str">
        <f>IF(Table1[[#This Row],[AGE]]&lt;=18,"CHILD",IF(Table1[[#This Row],[AGE]]&lt;=20,"TEEN",IF(Table1[[#This Row],[AGE]]&lt;=40,"ADULT",IF(Table1[[#This Row],[AGE]]&lt;=60,"SENIOR CITIZEN","OLD CITIZEN"))))</f>
        <v>OLD CITIZEN</v>
      </c>
      <c r="L392" s="1" t="s">
        <v>57</v>
      </c>
      <c r="M392" s="1" t="s">
        <v>25</v>
      </c>
      <c r="N392" s="13">
        <f>VLOOKUP(Table1[[#This Row],[TRANSACTION ID]],'Transaction ID Record'!$C$3:$D$510,2,FALSE)</f>
        <v>24480</v>
      </c>
    </row>
    <row r="393" spans="1:14" x14ac:dyDescent="0.35">
      <c r="A393" s="6" t="str">
        <f>TEXT(Table1[[#This Row],[DATE]],"MMMM")</f>
        <v>September</v>
      </c>
      <c r="B393" s="10">
        <v>44831</v>
      </c>
      <c r="C393" s="1" t="s">
        <v>682</v>
      </c>
      <c r="D393" s="1" t="str">
        <f>UPPER(Table1[[#This Row],[NAME2]])</f>
        <v>CYRUS SMITH</v>
      </c>
      <c r="E393" s="1" t="s">
        <v>265</v>
      </c>
      <c r="F393" s="1" t="s">
        <v>266</v>
      </c>
      <c r="G393" s="1" t="s">
        <v>13</v>
      </c>
      <c r="H393" s="1" t="s">
        <v>267</v>
      </c>
      <c r="I393" s="1" t="s">
        <v>15</v>
      </c>
      <c r="J393" s="9">
        <v>72</v>
      </c>
      <c r="K393" s="1" t="str">
        <f>IF(Table1[[#This Row],[AGE]]&lt;=18,"CHILD",IF(Table1[[#This Row],[AGE]]&lt;=20,"TEEN",IF(Table1[[#This Row],[AGE]]&lt;=40,"ADULT",IF(Table1[[#This Row],[AGE]]&lt;=60,"SENIOR CITIZEN","OLD CITIZEN"))))</f>
        <v>OLD CITIZEN</v>
      </c>
      <c r="L393" s="1" t="s">
        <v>24</v>
      </c>
      <c r="M393" s="1" t="s">
        <v>32</v>
      </c>
      <c r="N393" s="13">
        <f>VLOOKUP(Table1[[#This Row],[TRANSACTION ID]],'Transaction ID Record'!$C$3:$D$510,2,FALSE)</f>
        <v>47647</v>
      </c>
    </row>
    <row r="394" spans="1:14" x14ac:dyDescent="0.35">
      <c r="A394" s="6" t="str">
        <f>TEXT(Table1[[#This Row],[DATE]],"MMMM")</f>
        <v>September</v>
      </c>
      <c r="B394" s="10">
        <v>44833</v>
      </c>
      <c r="C394" s="1" t="s">
        <v>683</v>
      </c>
      <c r="D394" s="1" t="str">
        <f>UPPER(Table1[[#This Row],[NAME2]])</f>
        <v>EBUKA MERCER</v>
      </c>
      <c r="E394" s="1" t="s">
        <v>482</v>
      </c>
      <c r="F394" s="1" t="s">
        <v>483</v>
      </c>
      <c r="G394" s="1" t="s">
        <v>21</v>
      </c>
      <c r="H394" s="1" t="s">
        <v>484</v>
      </c>
      <c r="I394" s="1" t="s">
        <v>15</v>
      </c>
      <c r="J394" s="9">
        <v>24</v>
      </c>
      <c r="K394" s="1" t="str">
        <f>IF(Table1[[#This Row],[AGE]]&lt;=18,"CHILD",IF(Table1[[#This Row],[AGE]]&lt;=20,"TEEN",IF(Table1[[#This Row],[AGE]]&lt;=40,"ADULT",IF(Table1[[#This Row],[AGE]]&lt;=60,"SENIOR CITIZEN","OLD CITIZEN"))))</f>
        <v>ADULT</v>
      </c>
      <c r="L394" s="1" t="s">
        <v>24</v>
      </c>
      <c r="M394" s="1" t="s">
        <v>32</v>
      </c>
      <c r="N394" s="13">
        <f>VLOOKUP(Table1[[#This Row],[TRANSACTION ID]],'Transaction ID Record'!$C$3:$D$510,2,FALSE)</f>
        <v>79189</v>
      </c>
    </row>
    <row r="395" spans="1:14" x14ac:dyDescent="0.35">
      <c r="A395" s="6" t="str">
        <f>TEXT(Table1[[#This Row],[DATE]],"MMMM")</f>
        <v>September</v>
      </c>
      <c r="B395" s="10">
        <v>44834</v>
      </c>
      <c r="C395" s="1" t="s">
        <v>684</v>
      </c>
      <c r="D395" s="1" t="str">
        <f>UPPER(Table1[[#This Row],[NAME2]])</f>
        <v>EMERSON PANOVSKY</v>
      </c>
      <c r="E395" s="1" t="s">
        <v>75</v>
      </c>
      <c r="F395" s="1" t="s">
        <v>76</v>
      </c>
      <c r="G395" s="1" t="s">
        <v>21</v>
      </c>
      <c r="H395" s="1" t="s">
        <v>77</v>
      </c>
      <c r="I395" s="1" t="s">
        <v>30</v>
      </c>
      <c r="J395" s="9">
        <v>19</v>
      </c>
      <c r="K395" s="1" t="str">
        <f>IF(Table1[[#This Row],[AGE]]&lt;=18,"CHILD",IF(Table1[[#This Row],[AGE]]&lt;=20,"TEEN",IF(Table1[[#This Row],[AGE]]&lt;=40,"ADULT",IF(Table1[[#This Row],[AGE]]&lt;=60,"SENIOR CITIZEN","OLD CITIZEN"))))</f>
        <v>TEEN</v>
      </c>
      <c r="L395" s="1" t="s">
        <v>66</v>
      </c>
      <c r="M395" s="1" t="s">
        <v>61</v>
      </c>
      <c r="N395" s="13">
        <f>VLOOKUP(Table1[[#This Row],[TRANSACTION ID]],'Transaction ID Record'!$C$3:$D$510,2,FALSE)</f>
        <v>26122</v>
      </c>
    </row>
    <row r="396" spans="1:14" x14ac:dyDescent="0.35">
      <c r="A396" s="6" t="str">
        <f>TEXT(Table1[[#This Row],[DATE]],"MMMM")</f>
        <v>October</v>
      </c>
      <c r="B396" s="10">
        <v>44835</v>
      </c>
      <c r="C396" s="1" t="s">
        <v>685</v>
      </c>
      <c r="D396" s="1" t="str">
        <f>UPPER(Table1[[#This Row],[NAME2]])</f>
        <v>ODUMOSU DUKE</v>
      </c>
      <c r="E396" s="1" t="s">
        <v>59</v>
      </c>
      <c r="F396" s="1" t="s">
        <v>800</v>
      </c>
      <c r="G396" s="1" t="s">
        <v>13</v>
      </c>
      <c r="H396" s="1" t="s">
        <v>60</v>
      </c>
      <c r="I396" s="1" t="s">
        <v>15</v>
      </c>
      <c r="J396" s="9">
        <v>48</v>
      </c>
      <c r="K396" s="1" t="str">
        <f>IF(Table1[[#This Row],[AGE]]&lt;=18,"CHILD",IF(Table1[[#This Row],[AGE]]&lt;=20,"TEEN",IF(Table1[[#This Row],[AGE]]&lt;=40,"ADULT",IF(Table1[[#This Row],[AGE]]&lt;=60,"SENIOR CITIZEN","OLD CITIZEN"))))</f>
        <v>SENIOR CITIZEN</v>
      </c>
      <c r="L396" s="1" t="s">
        <v>37</v>
      </c>
      <c r="M396" s="1" t="s">
        <v>47</v>
      </c>
      <c r="N396" s="13">
        <f>VLOOKUP(Table1[[#This Row],[TRANSACTION ID]],'Transaction ID Record'!$C$3:$D$510,2,FALSE)</f>
        <v>33725</v>
      </c>
    </row>
    <row r="397" spans="1:14" x14ac:dyDescent="0.35">
      <c r="A397" s="6" t="str">
        <f>TEXT(Table1[[#This Row],[DATE]],"MMMM")</f>
        <v>October</v>
      </c>
      <c r="B397" s="10">
        <v>44835</v>
      </c>
      <c r="C397" s="1" t="s">
        <v>686</v>
      </c>
      <c r="D397" s="1" t="str">
        <f>UPPER(Table1[[#This Row],[NAME2]])</f>
        <v>LATIFAH OGBONNA</v>
      </c>
      <c r="E397" s="1" t="s">
        <v>145</v>
      </c>
      <c r="F397" s="1" t="s">
        <v>146</v>
      </c>
      <c r="G397" s="1" t="s">
        <v>13</v>
      </c>
      <c r="H397" s="1" t="s">
        <v>147</v>
      </c>
      <c r="I397" s="1" t="s">
        <v>23</v>
      </c>
      <c r="J397" s="9">
        <v>46</v>
      </c>
      <c r="K397" s="1" t="str">
        <f>IF(Table1[[#This Row],[AGE]]&lt;=18,"CHILD",IF(Table1[[#This Row],[AGE]]&lt;=20,"TEEN",IF(Table1[[#This Row],[AGE]]&lt;=40,"ADULT",IF(Table1[[#This Row],[AGE]]&lt;=60,"SENIOR CITIZEN","OLD CITIZEN"))))</f>
        <v>SENIOR CITIZEN</v>
      </c>
      <c r="L397" s="1" t="s">
        <v>16</v>
      </c>
      <c r="M397" s="1" t="s">
        <v>32</v>
      </c>
      <c r="N397" s="13">
        <f>VLOOKUP(Table1[[#This Row],[TRANSACTION ID]],'Transaction ID Record'!$C$3:$D$510,2,FALSE)</f>
        <v>78413</v>
      </c>
    </row>
    <row r="398" spans="1:14" x14ac:dyDescent="0.35">
      <c r="A398" s="6" t="str">
        <f>TEXT(Table1[[#This Row],[DATE]],"MMMM")</f>
        <v>October</v>
      </c>
      <c r="B398" s="10">
        <v>44836</v>
      </c>
      <c r="C398" s="1" t="s">
        <v>687</v>
      </c>
      <c r="D398" s="1" t="str">
        <f>UPPER(Table1[[#This Row],[NAME2]])</f>
        <v>JAMES MCCARTY</v>
      </c>
      <c r="E398" s="1" t="s">
        <v>558</v>
      </c>
      <c r="F398" s="1" t="s">
        <v>559</v>
      </c>
      <c r="G398" s="1" t="s">
        <v>13</v>
      </c>
      <c r="H398" s="1" t="s">
        <v>560</v>
      </c>
      <c r="I398" s="1" t="s">
        <v>15</v>
      </c>
      <c r="J398" s="9">
        <v>76</v>
      </c>
      <c r="K398" s="1" t="str">
        <f>IF(Table1[[#This Row],[AGE]]&lt;=18,"CHILD",IF(Table1[[#This Row],[AGE]]&lt;=20,"TEEN",IF(Table1[[#This Row],[AGE]]&lt;=40,"ADULT",IF(Table1[[#This Row],[AGE]]&lt;=60,"SENIOR CITIZEN","OLD CITIZEN"))))</f>
        <v>OLD CITIZEN</v>
      </c>
      <c r="L398" s="1" t="s">
        <v>66</v>
      </c>
      <c r="M398" s="1" t="s">
        <v>25</v>
      </c>
      <c r="N398" s="13">
        <f>VLOOKUP(Table1[[#This Row],[TRANSACTION ID]],'Transaction ID Record'!$C$3:$D$510,2,FALSE)</f>
        <v>129688</v>
      </c>
    </row>
    <row r="399" spans="1:14" x14ac:dyDescent="0.35">
      <c r="A399" s="6" t="str">
        <f>TEXT(Table1[[#This Row],[DATE]],"MMMM")</f>
        <v>October</v>
      </c>
      <c r="B399" s="10">
        <v>44838</v>
      </c>
      <c r="C399" s="1" t="s">
        <v>688</v>
      </c>
      <c r="D399" s="1" t="str">
        <f>UPPER(Table1[[#This Row],[NAME2]])</f>
        <v>WINIFRED OGBONNA</v>
      </c>
      <c r="E399" s="1" t="s">
        <v>647</v>
      </c>
      <c r="F399" s="1" t="s">
        <v>648</v>
      </c>
      <c r="G399" s="1" t="s">
        <v>21</v>
      </c>
      <c r="H399" s="1" t="s">
        <v>649</v>
      </c>
      <c r="I399" s="1" t="s">
        <v>23</v>
      </c>
      <c r="J399" s="9">
        <v>69</v>
      </c>
      <c r="K399" s="1" t="str">
        <f>IF(Table1[[#This Row],[AGE]]&lt;=18,"CHILD",IF(Table1[[#This Row],[AGE]]&lt;=20,"TEEN",IF(Table1[[#This Row],[AGE]]&lt;=40,"ADULT",IF(Table1[[#This Row],[AGE]]&lt;=60,"SENIOR CITIZEN","OLD CITIZEN"))))</f>
        <v>OLD CITIZEN</v>
      </c>
      <c r="L399" s="1" t="s">
        <v>37</v>
      </c>
      <c r="M399" s="1" t="s">
        <v>32</v>
      </c>
      <c r="N399" s="13">
        <f>VLOOKUP(Table1[[#This Row],[TRANSACTION ID]],'Transaction ID Record'!$C$3:$D$510,2,FALSE)</f>
        <v>112725</v>
      </c>
    </row>
    <row r="400" spans="1:14" x14ac:dyDescent="0.35">
      <c r="A400" s="6" t="str">
        <f>TEXT(Table1[[#This Row],[DATE]],"MMMM")</f>
        <v>October</v>
      </c>
      <c r="B400" s="10">
        <v>44838</v>
      </c>
      <c r="C400" s="1" t="s">
        <v>689</v>
      </c>
      <c r="D400" s="1" t="str">
        <f>UPPER(Table1[[#This Row],[NAME2]])</f>
        <v>LAEL CARTER</v>
      </c>
      <c r="E400" s="1" t="s">
        <v>430</v>
      </c>
      <c r="F400" s="1" t="s">
        <v>829</v>
      </c>
      <c r="G400" s="1" t="s">
        <v>21</v>
      </c>
      <c r="H400" s="1" t="s">
        <v>431</v>
      </c>
      <c r="I400" s="1" t="s">
        <v>15</v>
      </c>
      <c r="J400" s="9">
        <v>26</v>
      </c>
      <c r="K400" s="1" t="str">
        <f>IF(Table1[[#This Row],[AGE]]&lt;=18,"CHILD",IF(Table1[[#This Row],[AGE]]&lt;=20,"TEEN",IF(Table1[[#This Row],[AGE]]&lt;=40,"ADULT",IF(Table1[[#This Row],[AGE]]&lt;=60,"SENIOR CITIZEN","OLD CITIZEN"))))</f>
        <v>ADULT</v>
      </c>
      <c r="L400" s="1" t="s">
        <v>151</v>
      </c>
      <c r="M400" s="1" t="s">
        <v>47</v>
      </c>
      <c r="N400" s="13">
        <f>VLOOKUP(Table1[[#This Row],[TRANSACTION ID]],'Transaction ID Record'!$C$3:$D$510,2,FALSE)</f>
        <v>69699</v>
      </c>
    </row>
    <row r="401" spans="1:14" x14ac:dyDescent="0.35">
      <c r="A401" s="6" t="str">
        <f>TEXT(Table1[[#This Row],[DATE]],"MMMM")</f>
        <v>October</v>
      </c>
      <c r="B401" s="10">
        <v>44841</v>
      </c>
      <c r="C401" s="1" t="s">
        <v>690</v>
      </c>
      <c r="D401" s="1" t="str">
        <f>UPPER(Table1[[#This Row],[NAME2]])</f>
        <v>BRITTANY BEST</v>
      </c>
      <c r="E401" s="1" t="s">
        <v>54</v>
      </c>
      <c r="F401" s="1" t="s">
        <v>55</v>
      </c>
      <c r="G401" s="1" t="s">
        <v>21</v>
      </c>
      <c r="H401" s="1" t="s">
        <v>56</v>
      </c>
      <c r="I401" s="1" t="s">
        <v>23</v>
      </c>
      <c r="J401" s="9">
        <v>28</v>
      </c>
      <c r="K401" s="1" t="str">
        <f>IF(Table1[[#This Row],[AGE]]&lt;=18,"CHILD",IF(Table1[[#This Row],[AGE]]&lt;=20,"TEEN",IF(Table1[[#This Row],[AGE]]&lt;=40,"ADULT",IF(Table1[[#This Row],[AGE]]&lt;=60,"SENIOR CITIZEN","OLD CITIZEN"))))</f>
        <v>ADULT</v>
      </c>
      <c r="L401" s="1" t="s">
        <v>42</v>
      </c>
      <c r="M401" s="1" t="s">
        <v>32</v>
      </c>
      <c r="N401" s="13">
        <f>VLOOKUP(Table1[[#This Row],[TRANSACTION ID]],'Transaction ID Record'!$C$3:$D$510,2,FALSE)</f>
        <v>46980</v>
      </c>
    </row>
    <row r="402" spans="1:14" x14ac:dyDescent="0.35">
      <c r="A402" s="6" t="str">
        <f>TEXT(Table1[[#This Row],[DATE]],"MMMM")</f>
        <v>October</v>
      </c>
      <c r="B402" s="10">
        <v>44841</v>
      </c>
      <c r="C402" s="1" t="s">
        <v>691</v>
      </c>
      <c r="D402" s="1" t="str">
        <f>UPPER(Table1[[#This Row],[NAME2]])</f>
        <v>TAOHEED PERKINS</v>
      </c>
      <c r="E402" s="1" t="s">
        <v>107</v>
      </c>
      <c r="F402" s="1" t="s">
        <v>807</v>
      </c>
      <c r="G402" s="1" t="s">
        <v>21</v>
      </c>
      <c r="H402" s="1" t="s">
        <v>108</v>
      </c>
      <c r="I402" s="1" t="s">
        <v>15</v>
      </c>
      <c r="J402" s="9">
        <v>73</v>
      </c>
      <c r="K402" s="1" t="str">
        <f>IF(Table1[[#This Row],[AGE]]&lt;=18,"CHILD",IF(Table1[[#This Row],[AGE]]&lt;=20,"TEEN",IF(Table1[[#This Row],[AGE]]&lt;=40,"ADULT",IF(Table1[[#This Row],[AGE]]&lt;=60,"SENIOR CITIZEN","OLD CITIZEN"))))</f>
        <v>OLD CITIZEN</v>
      </c>
      <c r="L402" s="1" t="s">
        <v>24</v>
      </c>
      <c r="M402" s="1" t="s">
        <v>25</v>
      </c>
      <c r="N402" s="13">
        <f>VLOOKUP(Table1[[#This Row],[TRANSACTION ID]],'Transaction ID Record'!$C$3:$D$510,2,FALSE)</f>
        <v>133811</v>
      </c>
    </row>
    <row r="403" spans="1:14" x14ac:dyDescent="0.35">
      <c r="A403" s="6" t="str">
        <f>TEXT(Table1[[#This Row],[DATE]],"MMMM")</f>
        <v>October</v>
      </c>
      <c r="B403" s="10">
        <v>44842</v>
      </c>
      <c r="C403" s="1" t="s">
        <v>692</v>
      </c>
      <c r="D403" s="1" t="str">
        <f>UPPER(Table1[[#This Row],[NAME2]])</f>
        <v>MAITE CORTEZ</v>
      </c>
      <c r="E403" s="1" t="s">
        <v>165</v>
      </c>
      <c r="F403" s="1" t="s">
        <v>812</v>
      </c>
      <c r="G403" s="1" t="s">
        <v>21</v>
      </c>
      <c r="H403" s="1" t="s">
        <v>166</v>
      </c>
      <c r="I403" s="1" t="s">
        <v>30</v>
      </c>
      <c r="J403" s="9">
        <v>26</v>
      </c>
      <c r="K403" s="1" t="str">
        <f>IF(Table1[[#This Row],[AGE]]&lt;=18,"CHILD",IF(Table1[[#This Row],[AGE]]&lt;=20,"TEEN",IF(Table1[[#This Row],[AGE]]&lt;=40,"ADULT",IF(Table1[[#This Row],[AGE]]&lt;=60,"SENIOR CITIZEN","OLD CITIZEN"))))</f>
        <v>ADULT</v>
      </c>
      <c r="L403" s="1" t="s">
        <v>42</v>
      </c>
      <c r="M403" s="1" t="s">
        <v>32</v>
      </c>
      <c r="N403" s="13">
        <f>VLOOKUP(Table1[[#This Row],[TRANSACTION ID]],'Transaction ID Record'!$C$3:$D$510,2,FALSE)</f>
        <v>121408</v>
      </c>
    </row>
    <row r="404" spans="1:14" x14ac:dyDescent="0.35">
      <c r="A404" s="6" t="str">
        <f>TEXT(Table1[[#This Row],[DATE]],"MMMM")</f>
        <v>October</v>
      </c>
      <c r="B404" s="10">
        <v>44844</v>
      </c>
      <c r="C404" s="1" t="s">
        <v>693</v>
      </c>
      <c r="D404" s="1" t="str">
        <f>UPPER(Table1[[#This Row],[NAME2]])</f>
        <v>TAOHEED ABBOTT</v>
      </c>
      <c r="E404" s="1" t="s">
        <v>115</v>
      </c>
      <c r="F404" s="1" t="s">
        <v>808</v>
      </c>
      <c r="G404" s="1" t="s">
        <v>13</v>
      </c>
      <c r="H404" s="1" t="s">
        <v>116</v>
      </c>
      <c r="I404" s="1" t="s">
        <v>15</v>
      </c>
      <c r="J404" s="9">
        <v>67</v>
      </c>
      <c r="K404" s="1" t="str">
        <f>IF(Table1[[#This Row],[AGE]]&lt;=18,"CHILD",IF(Table1[[#This Row],[AGE]]&lt;=20,"TEEN",IF(Table1[[#This Row],[AGE]]&lt;=40,"ADULT",IF(Table1[[#This Row],[AGE]]&lt;=60,"SENIOR CITIZEN","OLD CITIZEN"))))</f>
        <v>OLD CITIZEN</v>
      </c>
      <c r="L404" s="1" t="s">
        <v>42</v>
      </c>
      <c r="M404" s="1" t="s">
        <v>47</v>
      </c>
      <c r="N404" s="13">
        <f>VLOOKUP(Table1[[#This Row],[TRANSACTION ID]],'Transaction ID Record'!$C$3:$D$510,2,FALSE)</f>
        <v>98784</v>
      </c>
    </row>
    <row r="405" spans="1:14" x14ac:dyDescent="0.35">
      <c r="A405" s="6" t="str">
        <f>TEXT(Table1[[#This Row],[DATE]],"MMMM")</f>
        <v>October</v>
      </c>
      <c r="B405" s="10">
        <v>44845</v>
      </c>
      <c r="C405" s="1" t="s">
        <v>694</v>
      </c>
      <c r="D405" s="1" t="str">
        <f>UPPER(Table1[[#This Row],[NAME2]])</f>
        <v>BAMIDELE ALEXANDER</v>
      </c>
      <c r="E405" s="1" t="s">
        <v>34</v>
      </c>
      <c r="F405" s="1" t="s">
        <v>35</v>
      </c>
      <c r="G405" s="1" t="s">
        <v>13</v>
      </c>
      <c r="H405" s="1" t="s">
        <v>36</v>
      </c>
      <c r="I405" s="1" t="s">
        <v>23</v>
      </c>
      <c r="J405" s="9">
        <v>61</v>
      </c>
      <c r="K405" s="1" t="str">
        <f>IF(Table1[[#This Row],[AGE]]&lt;=18,"CHILD",IF(Table1[[#This Row],[AGE]]&lt;=20,"TEEN",IF(Table1[[#This Row],[AGE]]&lt;=40,"ADULT",IF(Table1[[#This Row],[AGE]]&lt;=60,"SENIOR CITIZEN","OLD CITIZEN"))))</f>
        <v>OLD CITIZEN</v>
      </c>
      <c r="L405" s="1" t="s">
        <v>42</v>
      </c>
      <c r="M405" s="1" t="s">
        <v>25</v>
      </c>
      <c r="N405" s="13">
        <f>VLOOKUP(Table1[[#This Row],[TRANSACTION ID]],'Transaction ID Record'!$C$3:$D$510,2,FALSE)</f>
        <v>127333</v>
      </c>
    </row>
    <row r="406" spans="1:14" x14ac:dyDescent="0.35">
      <c r="A406" s="6" t="str">
        <f>TEXT(Table1[[#This Row],[DATE]],"MMMM")</f>
        <v>October</v>
      </c>
      <c r="B406" s="10">
        <v>44845</v>
      </c>
      <c r="C406" s="1" t="s">
        <v>695</v>
      </c>
      <c r="D406" s="1" t="str">
        <f>UPPER(Table1[[#This Row],[NAME2]])</f>
        <v>ADENIYI CHANG</v>
      </c>
      <c r="E406" s="1" t="s">
        <v>125</v>
      </c>
      <c r="F406" s="1" t="s">
        <v>126</v>
      </c>
      <c r="G406" s="1" t="s">
        <v>21</v>
      </c>
      <c r="H406" s="1" t="s">
        <v>127</v>
      </c>
      <c r="I406" s="1" t="s">
        <v>23</v>
      </c>
      <c r="J406" s="9">
        <v>76</v>
      </c>
      <c r="K406" s="1" t="str">
        <f>IF(Table1[[#This Row],[AGE]]&lt;=18,"CHILD",IF(Table1[[#This Row],[AGE]]&lt;=20,"TEEN",IF(Table1[[#This Row],[AGE]]&lt;=40,"ADULT",IF(Table1[[#This Row],[AGE]]&lt;=60,"SENIOR CITIZEN","OLD CITIZEN"))))</f>
        <v>OLD CITIZEN</v>
      </c>
      <c r="L406" s="1" t="s">
        <v>52</v>
      </c>
      <c r="M406" s="1" t="s">
        <v>17</v>
      </c>
      <c r="N406" s="13">
        <f>VLOOKUP(Table1[[#This Row],[TRANSACTION ID]],'Transaction ID Record'!$C$3:$D$510,2,FALSE)</f>
        <v>183111</v>
      </c>
    </row>
    <row r="407" spans="1:14" x14ac:dyDescent="0.35">
      <c r="A407" s="6" t="str">
        <f>TEXT(Table1[[#This Row],[DATE]],"MMMM")</f>
        <v>October</v>
      </c>
      <c r="B407" s="10">
        <v>44845</v>
      </c>
      <c r="C407" s="1" t="s">
        <v>696</v>
      </c>
      <c r="D407" s="1" t="str">
        <f>UPPER(Table1[[#This Row],[NAME2]])</f>
        <v>ODUMOSU DUKE</v>
      </c>
      <c r="E407" s="1" t="s">
        <v>59</v>
      </c>
      <c r="F407" s="1" t="s">
        <v>800</v>
      </c>
      <c r="G407" s="1" t="s">
        <v>13</v>
      </c>
      <c r="H407" s="1" t="s">
        <v>60</v>
      </c>
      <c r="I407" s="1" t="s">
        <v>15</v>
      </c>
      <c r="J407" s="9">
        <v>48</v>
      </c>
      <c r="K407" s="1" t="str">
        <f>IF(Table1[[#This Row],[AGE]]&lt;=18,"CHILD",IF(Table1[[#This Row],[AGE]]&lt;=20,"TEEN",IF(Table1[[#This Row],[AGE]]&lt;=40,"ADULT",IF(Table1[[#This Row],[AGE]]&lt;=60,"SENIOR CITIZEN","OLD CITIZEN"))))</f>
        <v>SENIOR CITIZEN</v>
      </c>
      <c r="L407" s="1" t="s">
        <v>16</v>
      </c>
      <c r="M407" s="1" t="s">
        <v>47</v>
      </c>
      <c r="N407" s="13">
        <f>VLOOKUP(Table1[[#This Row],[TRANSACTION ID]],'Transaction ID Record'!$C$3:$D$510,2,FALSE)</f>
        <v>110634</v>
      </c>
    </row>
    <row r="408" spans="1:14" x14ac:dyDescent="0.35">
      <c r="A408" s="6" t="str">
        <f>TEXT(Table1[[#This Row],[DATE]],"MMMM")</f>
        <v>October</v>
      </c>
      <c r="B408" s="10">
        <v>44845</v>
      </c>
      <c r="C408" s="1" t="s">
        <v>697</v>
      </c>
      <c r="D408" s="1" t="str">
        <f>UPPER(Table1[[#This Row],[NAME2]])</f>
        <v>URIEL ADAMS</v>
      </c>
      <c r="E408" s="1" t="s">
        <v>39</v>
      </c>
      <c r="F408" s="1" t="s">
        <v>40</v>
      </c>
      <c r="G408" s="1" t="s">
        <v>21</v>
      </c>
      <c r="H408" s="1" t="s">
        <v>41</v>
      </c>
      <c r="I408" s="1" t="s">
        <v>15</v>
      </c>
      <c r="J408" s="9">
        <v>48</v>
      </c>
      <c r="K408" s="1" t="str">
        <f>IF(Table1[[#This Row],[AGE]]&lt;=18,"CHILD",IF(Table1[[#This Row],[AGE]]&lt;=20,"TEEN",IF(Table1[[#This Row],[AGE]]&lt;=40,"ADULT",IF(Table1[[#This Row],[AGE]]&lt;=60,"SENIOR CITIZEN","OLD CITIZEN"))))</f>
        <v>SENIOR CITIZEN</v>
      </c>
      <c r="L408" s="1" t="s">
        <v>66</v>
      </c>
      <c r="M408" s="1" t="s">
        <v>32</v>
      </c>
      <c r="N408" s="13">
        <f>VLOOKUP(Table1[[#This Row],[TRANSACTION ID]],'Transaction ID Record'!$C$3:$D$510,2,FALSE)</f>
        <v>189933</v>
      </c>
    </row>
    <row r="409" spans="1:14" x14ac:dyDescent="0.35">
      <c r="A409" s="6" t="str">
        <f>TEXT(Table1[[#This Row],[DATE]],"MMMM")</f>
        <v>October</v>
      </c>
      <c r="B409" s="10">
        <v>44846</v>
      </c>
      <c r="C409" s="1" t="s">
        <v>698</v>
      </c>
      <c r="D409" s="1" t="str">
        <f>UPPER(Table1[[#This Row],[NAME2]])</f>
        <v>OLAOGUN GILBERT</v>
      </c>
      <c r="E409" s="1" t="s">
        <v>44</v>
      </c>
      <c r="F409" s="1" t="s">
        <v>45</v>
      </c>
      <c r="G409" s="1" t="s">
        <v>13</v>
      </c>
      <c r="H409" s="1" t="s">
        <v>46</v>
      </c>
      <c r="I409" s="1" t="s">
        <v>15</v>
      </c>
      <c r="J409" s="9">
        <v>22</v>
      </c>
      <c r="K409" s="1" t="str">
        <f>IF(Table1[[#This Row],[AGE]]&lt;=18,"CHILD",IF(Table1[[#This Row],[AGE]]&lt;=20,"TEEN",IF(Table1[[#This Row],[AGE]]&lt;=40,"ADULT",IF(Table1[[#This Row],[AGE]]&lt;=60,"SENIOR CITIZEN","OLD CITIZEN"))))</f>
        <v>ADULT</v>
      </c>
      <c r="L409" s="1" t="s">
        <v>52</v>
      </c>
      <c r="M409" s="1" t="s">
        <v>47</v>
      </c>
      <c r="N409" s="13">
        <f>VLOOKUP(Table1[[#This Row],[TRANSACTION ID]],'Transaction ID Record'!$C$3:$D$510,2,FALSE)</f>
        <v>161075</v>
      </c>
    </row>
    <row r="410" spans="1:14" x14ac:dyDescent="0.35">
      <c r="A410" s="6" t="str">
        <f>TEXT(Table1[[#This Row],[DATE]],"MMMM")</f>
        <v>October</v>
      </c>
      <c r="B410" s="10">
        <v>44848</v>
      </c>
      <c r="C410" s="1" t="s">
        <v>699</v>
      </c>
      <c r="D410" s="1" t="str">
        <f>UPPER(Table1[[#This Row],[NAME2]])</f>
        <v>ADENIYI MCCONNELL</v>
      </c>
      <c r="E410" s="1" t="s">
        <v>398</v>
      </c>
      <c r="F410" s="1" t="s">
        <v>827</v>
      </c>
      <c r="G410" s="1" t="s">
        <v>21</v>
      </c>
      <c r="H410" s="1" t="s">
        <v>399</v>
      </c>
      <c r="I410" s="1" t="s">
        <v>15</v>
      </c>
      <c r="J410" s="9">
        <v>32</v>
      </c>
      <c r="K410" s="1" t="str">
        <f>IF(Table1[[#This Row],[AGE]]&lt;=18,"CHILD",IF(Table1[[#This Row],[AGE]]&lt;=20,"TEEN",IF(Table1[[#This Row],[AGE]]&lt;=40,"ADULT",IF(Table1[[#This Row],[AGE]]&lt;=60,"SENIOR CITIZEN","OLD CITIZEN"))))</f>
        <v>ADULT</v>
      </c>
      <c r="L410" s="1" t="s">
        <v>66</v>
      </c>
      <c r="M410" s="1" t="s">
        <v>61</v>
      </c>
      <c r="N410" s="13">
        <f>VLOOKUP(Table1[[#This Row],[TRANSACTION ID]],'Transaction ID Record'!$C$3:$D$510,2,FALSE)</f>
        <v>34700</v>
      </c>
    </row>
    <row r="411" spans="1:14" x14ac:dyDescent="0.35">
      <c r="A411" s="6" t="str">
        <f>TEXT(Table1[[#This Row],[DATE]],"MMMM")</f>
        <v>October</v>
      </c>
      <c r="B411" s="10">
        <v>44849</v>
      </c>
      <c r="C411" s="1" t="s">
        <v>700</v>
      </c>
      <c r="D411" s="1" t="str">
        <f>UPPER(Table1[[#This Row],[NAME2]])</f>
        <v>ADENIYI MCCONNELL</v>
      </c>
      <c r="E411" s="1" t="s">
        <v>398</v>
      </c>
      <c r="F411" s="1" t="s">
        <v>827</v>
      </c>
      <c r="G411" s="1" t="s">
        <v>21</v>
      </c>
      <c r="H411" s="1" t="s">
        <v>399</v>
      </c>
      <c r="I411" s="1" t="s">
        <v>15</v>
      </c>
      <c r="J411" s="9">
        <v>32</v>
      </c>
      <c r="K411" s="1" t="str">
        <f>IF(Table1[[#This Row],[AGE]]&lt;=18,"CHILD",IF(Table1[[#This Row],[AGE]]&lt;=20,"TEEN",IF(Table1[[#This Row],[AGE]]&lt;=40,"ADULT",IF(Table1[[#This Row],[AGE]]&lt;=60,"SENIOR CITIZEN","OLD CITIZEN"))))</f>
        <v>ADULT</v>
      </c>
      <c r="L411" s="1" t="s">
        <v>167</v>
      </c>
      <c r="M411" s="1" t="s">
        <v>25</v>
      </c>
      <c r="N411" s="13">
        <f>VLOOKUP(Table1[[#This Row],[TRANSACTION ID]],'Transaction ID Record'!$C$3:$D$510,2,FALSE)</f>
        <v>66175</v>
      </c>
    </row>
    <row r="412" spans="1:14" x14ac:dyDescent="0.35">
      <c r="A412" s="6" t="str">
        <f>TEXT(Table1[[#This Row],[DATE]],"MMMM")</f>
        <v>October</v>
      </c>
      <c r="B412" s="10">
        <v>44850</v>
      </c>
      <c r="C412" s="1" t="s">
        <v>701</v>
      </c>
      <c r="D412" s="1" t="str">
        <f>UPPER(Table1[[#This Row],[NAME2]])</f>
        <v>ODUMOSU DUKE</v>
      </c>
      <c r="E412" s="1" t="s">
        <v>59</v>
      </c>
      <c r="F412" s="1" t="s">
        <v>800</v>
      </c>
      <c r="G412" s="1" t="s">
        <v>13</v>
      </c>
      <c r="H412" s="1" t="s">
        <v>60</v>
      </c>
      <c r="I412" s="1" t="s">
        <v>15</v>
      </c>
      <c r="J412" s="9">
        <v>48</v>
      </c>
      <c r="K412" s="1" t="str">
        <f>IF(Table1[[#This Row],[AGE]]&lt;=18,"CHILD",IF(Table1[[#This Row],[AGE]]&lt;=20,"TEEN",IF(Table1[[#This Row],[AGE]]&lt;=40,"ADULT",IF(Table1[[#This Row],[AGE]]&lt;=60,"SENIOR CITIZEN","OLD CITIZEN"))))</f>
        <v>SENIOR CITIZEN</v>
      </c>
      <c r="L412" s="1" t="s">
        <v>66</v>
      </c>
      <c r="M412" s="1" t="s">
        <v>25</v>
      </c>
      <c r="N412" s="13">
        <f>VLOOKUP(Table1[[#This Row],[TRANSACTION ID]],'Transaction ID Record'!$C$3:$D$510,2,FALSE)</f>
        <v>146152</v>
      </c>
    </row>
    <row r="413" spans="1:14" x14ac:dyDescent="0.35">
      <c r="A413" s="6" t="str">
        <f>TEXT(Table1[[#This Row],[DATE]],"MMMM")</f>
        <v>October</v>
      </c>
      <c r="B413" s="10">
        <v>44850</v>
      </c>
      <c r="C413" s="1" t="s">
        <v>702</v>
      </c>
      <c r="D413" s="1" t="str">
        <f>UPPER(Table1[[#This Row],[NAME2]])</f>
        <v>BRYNNE NANKAM</v>
      </c>
      <c r="E413" s="1" t="s">
        <v>104</v>
      </c>
      <c r="F413" s="1" t="s">
        <v>806</v>
      </c>
      <c r="G413" s="1" t="s">
        <v>13</v>
      </c>
      <c r="H413" s="1" t="s">
        <v>105</v>
      </c>
      <c r="I413" s="1" t="s">
        <v>30</v>
      </c>
      <c r="J413" s="9">
        <v>64</v>
      </c>
      <c r="K413" s="1" t="str">
        <f>IF(Table1[[#This Row],[AGE]]&lt;=18,"CHILD",IF(Table1[[#This Row],[AGE]]&lt;=20,"TEEN",IF(Table1[[#This Row],[AGE]]&lt;=40,"ADULT",IF(Table1[[#This Row],[AGE]]&lt;=60,"SENIOR CITIZEN","OLD CITIZEN"))))</f>
        <v>OLD CITIZEN</v>
      </c>
      <c r="L413" s="1" t="s">
        <v>42</v>
      </c>
      <c r="M413" s="1" t="s">
        <v>25</v>
      </c>
      <c r="N413" s="13">
        <f>VLOOKUP(Table1[[#This Row],[TRANSACTION ID]],'Transaction ID Record'!$C$3:$D$510,2,FALSE)</f>
        <v>181788</v>
      </c>
    </row>
    <row r="414" spans="1:14" x14ac:dyDescent="0.35">
      <c r="A414" s="6" t="str">
        <f>TEXT(Table1[[#This Row],[DATE]],"MMMM")</f>
        <v>October</v>
      </c>
      <c r="B414" s="10">
        <v>44851</v>
      </c>
      <c r="C414" s="1" t="s">
        <v>703</v>
      </c>
      <c r="D414" s="1" t="str">
        <f>UPPER(Table1[[#This Row],[NAME2]])</f>
        <v>MERCEDES SELHORST</v>
      </c>
      <c r="E414" s="1" t="s">
        <v>154</v>
      </c>
      <c r="F414" s="1" t="s">
        <v>155</v>
      </c>
      <c r="G414" s="1" t="s">
        <v>21</v>
      </c>
      <c r="H414" s="1" t="s">
        <v>156</v>
      </c>
      <c r="I414" s="1" t="s">
        <v>23</v>
      </c>
      <c r="J414" s="9">
        <v>68</v>
      </c>
      <c r="K414" s="1" t="str">
        <f>IF(Table1[[#This Row],[AGE]]&lt;=18,"CHILD",IF(Table1[[#This Row],[AGE]]&lt;=20,"TEEN",IF(Table1[[#This Row],[AGE]]&lt;=40,"ADULT",IF(Table1[[#This Row],[AGE]]&lt;=60,"SENIOR CITIZEN","OLD CITIZEN"))))</f>
        <v>OLD CITIZEN</v>
      </c>
      <c r="L414" s="1" t="s">
        <v>16</v>
      </c>
      <c r="M414" s="1" t="s">
        <v>25</v>
      </c>
      <c r="N414" s="13">
        <f>VLOOKUP(Table1[[#This Row],[TRANSACTION ID]],'Transaction ID Record'!$C$3:$D$510,2,FALSE)</f>
        <v>59272</v>
      </c>
    </row>
    <row r="415" spans="1:14" x14ac:dyDescent="0.35">
      <c r="A415" s="6" t="str">
        <f>TEXT(Table1[[#This Row],[DATE]],"MMMM")</f>
        <v>October</v>
      </c>
      <c r="B415" s="10">
        <v>44851</v>
      </c>
      <c r="C415" s="1" t="s">
        <v>704</v>
      </c>
      <c r="D415" s="1" t="str">
        <f>UPPER(Table1[[#This Row],[NAME2]])</f>
        <v>TAIBAT DENNIS</v>
      </c>
      <c r="E415" s="1" t="s">
        <v>327</v>
      </c>
      <c r="F415" s="1" t="s">
        <v>328</v>
      </c>
      <c r="G415" s="1" t="s">
        <v>13</v>
      </c>
      <c r="H415" s="1" t="s">
        <v>329</v>
      </c>
      <c r="I415" s="1" t="s">
        <v>23</v>
      </c>
      <c r="J415" s="9">
        <v>37</v>
      </c>
      <c r="K415" s="1" t="str">
        <f>IF(Table1[[#This Row],[AGE]]&lt;=18,"CHILD",IF(Table1[[#This Row],[AGE]]&lt;=20,"TEEN",IF(Table1[[#This Row],[AGE]]&lt;=40,"ADULT",IF(Table1[[#This Row],[AGE]]&lt;=60,"SENIOR CITIZEN","OLD CITIZEN"))))</f>
        <v>ADULT</v>
      </c>
      <c r="L415" s="1" t="s">
        <v>37</v>
      </c>
      <c r="M415" s="1" t="s">
        <v>32</v>
      </c>
      <c r="N415" s="13">
        <f>VLOOKUP(Table1[[#This Row],[TRANSACTION ID]],'Transaction ID Record'!$C$3:$D$510,2,FALSE)</f>
        <v>145696</v>
      </c>
    </row>
    <row r="416" spans="1:14" x14ac:dyDescent="0.35">
      <c r="A416" s="6" t="str">
        <f>TEXT(Table1[[#This Row],[DATE]],"MMMM")</f>
        <v>October</v>
      </c>
      <c r="B416" s="10">
        <v>44853</v>
      </c>
      <c r="C416" s="1" t="s">
        <v>705</v>
      </c>
      <c r="D416" s="1" t="str">
        <f>UPPER(Table1[[#This Row],[NAME2]])</f>
        <v>OLAYINKA CANINI</v>
      </c>
      <c r="E416" s="1" t="s">
        <v>319</v>
      </c>
      <c r="F416" s="1" t="s">
        <v>823</v>
      </c>
      <c r="G416" s="1" t="s">
        <v>21</v>
      </c>
      <c r="H416" s="1" t="s">
        <v>320</v>
      </c>
      <c r="I416" s="1" t="s">
        <v>30</v>
      </c>
      <c r="J416" s="9">
        <v>45</v>
      </c>
      <c r="K416" s="1" t="str">
        <f>IF(Table1[[#This Row],[AGE]]&lt;=18,"CHILD",IF(Table1[[#This Row],[AGE]]&lt;=20,"TEEN",IF(Table1[[#This Row],[AGE]]&lt;=40,"ADULT",IF(Table1[[#This Row],[AGE]]&lt;=60,"SENIOR CITIZEN","OLD CITIZEN"))))</f>
        <v>SENIOR CITIZEN</v>
      </c>
      <c r="L416" s="1" t="s">
        <v>42</v>
      </c>
      <c r="M416" s="1" t="s">
        <v>47</v>
      </c>
      <c r="N416" s="13">
        <f>VLOOKUP(Table1[[#This Row],[TRANSACTION ID]],'Transaction ID Record'!$C$3:$D$510,2,FALSE)</f>
        <v>164198</v>
      </c>
    </row>
    <row r="417" spans="1:14" x14ac:dyDescent="0.35">
      <c r="A417" s="6" t="str">
        <f>TEXT(Table1[[#This Row],[DATE]],"MMMM")</f>
        <v>October</v>
      </c>
      <c r="B417" s="10">
        <v>44853</v>
      </c>
      <c r="C417" s="1" t="s">
        <v>706</v>
      </c>
      <c r="D417" s="1" t="str">
        <f>UPPER(Table1[[#This Row],[NAME2]])</f>
        <v>TEMILADE KNAPP</v>
      </c>
      <c r="E417" s="1" t="s">
        <v>79</v>
      </c>
      <c r="F417" s="1" t="s">
        <v>80</v>
      </c>
      <c r="G417" s="1" t="s">
        <v>21</v>
      </c>
      <c r="H417" s="1" t="s">
        <v>81</v>
      </c>
      <c r="I417" s="1" t="s">
        <v>23</v>
      </c>
      <c r="J417" s="9">
        <v>61</v>
      </c>
      <c r="K417" s="1" t="str">
        <f>IF(Table1[[#This Row],[AGE]]&lt;=18,"CHILD",IF(Table1[[#This Row],[AGE]]&lt;=20,"TEEN",IF(Table1[[#This Row],[AGE]]&lt;=40,"ADULT",IF(Table1[[#This Row],[AGE]]&lt;=60,"SENIOR CITIZEN","OLD CITIZEN"))))</f>
        <v>OLD CITIZEN</v>
      </c>
      <c r="L417" s="1" t="s">
        <v>24</v>
      </c>
      <c r="M417" s="1" t="s">
        <v>47</v>
      </c>
      <c r="N417" s="13">
        <f>VLOOKUP(Table1[[#This Row],[TRANSACTION ID]],'Transaction ID Record'!$C$3:$D$510,2,FALSE)</f>
        <v>81312</v>
      </c>
    </row>
    <row r="418" spans="1:14" x14ac:dyDescent="0.35">
      <c r="A418" s="6" t="str">
        <f>TEXT(Table1[[#This Row],[DATE]],"MMMM")</f>
        <v>October</v>
      </c>
      <c r="B418" s="10">
        <v>44853</v>
      </c>
      <c r="C418" s="1" t="s">
        <v>707</v>
      </c>
      <c r="D418" s="1" t="str">
        <f>UPPER(Table1[[#This Row],[NAME2]])</f>
        <v>AKANTEYON WILLIAMS</v>
      </c>
      <c r="E418" s="1" t="s">
        <v>97</v>
      </c>
      <c r="F418" s="1" t="s">
        <v>805</v>
      </c>
      <c r="G418" s="1" t="s">
        <v>21</v>
      </c>
      <c r="H418" s="1" t="s">
        <v>98</v>
      </c>
      <c r="I418" s="1" t="s">
        <v>30</v>
      </c>
      <c r="J418" s="9">
        <v>25</v>
      </c>
      <c r="K418" s="1" t="str">
        <f>IF(Table1[[#This Row],[AGE]]&lt;=18,"CHILD",IF(Table1[[#This Row],[AGE]]&lt;=20,"TEEN",IF(Table1[[#This Row],[AGE]]&lt;=40,"ADULT",IF(Table1[[#This Row],[AGE]]&lt;=60,"SENIOR CITIZEN","OLD CITIZEN"))))</f>
        <v>ADULT</v>
      </c>
      <c r="L418" s="1" t="s">
        <v>24</v>
      </c>
      <c r="M418" s="1" t="s">
        <v>32</v>
      </c>
      <c r="N418" s="13">
        <f>VLOOKUP(Table1[[#This Row],[TRANSACTION ID]],'Transaction ID Record'!$C$3:$D$510,2,FALSE)</f>
        <v>93595</v>
      </c>
    </row>
    <row r="419" spans="1:14" x14ac:dyDescent="0.35">
      <c r="A419" s="6" t="str">
        <f>TEXT(Table1[[#This Row],[DATE]],"MMMM")</f>
        <v>October</v>
      </c>
      <c r="B419" s="10">
        <v>44854</v>
      </c>
      <c r="C419" s="1" t="s">
        <v>708</v>
      </c>
      <c r="D419" s="1" t="str">
        <f>UPPER(Table1[[#This Row],[NAME2]])</f>
        <v>SAHEED THOMAS</v>
      </c>
      <c r="E419" s="1" t="s">
        <v>443</v>
      </c>
      <c r="F419" s="1" t="s">
        <v>830</v>
      </c>
      <c r="G419" s="1" t="s">
        <v>13</v>
      </c>
      <c r="H419" s="1" t="s">
        <v>444</v>
      </c>
      <c r="I419" s="1" t="s">
        <v>15</v>
      </c>
      <c r="J419" s="9">
        <v>28</v>
      </c>
      <c r="K419" s="1" t="str">
        <f>IF(Table1[[#This Row],[AGE]]&lt;=18,"CHILD",IF(Table1[[#This Row],[AGE]]&lt;=20,"TEEN",IF(Table1[[#This Row],[AGE]]&lt;=40,"ADULT",IF(Table1[[#This Row],[AGE]]&lt;=60,"SENIOR CITIZEN","OLD CITIZEN"))))</f>
        <v>ADULT</v>
      </c>
      <c r="L419" s="1" t="s">
        <v>42</v>
      </c>
      <c r="M419" s="1" t="s">
        <v>32</v>
      </c>
      <c r="N419" s="13">
        <f>VLOOKUP(Table1[[#This Row],[TRANSACTION ID]],'Transaction ID Record'!$C$3:$D$510,2,FALSE)</f>
        <v>82907</v>
      </c>
    </row>
    <row r="420" spans="1:14" x14ac:dyDescent="0.35">
      <c r="A420" s="6" t="str">
        <f>TEXT(Table1[[#This Row],[DATE]],"MMMM")</f>
        <v>October</v>
      </c>
      <c r="B420" s="10">
        <v>44854</v>
      </c>
      <c r="C420" s="1" t="s">
        <v>709</v>
      </c>
      <c r="D420" s="1" t="str">
        <f>UPPER(Table1[[#This Row],[NAME2]])</f>
        <v>FASINU GUZZO</v>
      </c>
      <c r="E420" s="1" t="s">
        <v>49</v>
      </c>
      <c r="F420" s="1" t="s">
        <v>50</v>
      </c>
      <c r="G420" s="1" t="s">
        <v>13</v>
      </c>
      <c r="H420" s="1" t="s">
        <v>51</v>
      </c>
      <c r="I420" s="1" t="s">
        <v>15</v>
      </c>
      <c r="J420" s="9">
        <v>61</v>
      </c>
      <c r="K420" s="1" t="str">
        <f>IF(Table1[[#This Row],[AGE]]&lt;=18,"CHILD",IF(Table1[[#This Row],[AGE]]&lt;=20,"TEEN",IF(Table1[[#This Row],[AGE]]&lt;=40,"ADULT",IF(Table1[[#This Row],[AGE]]&lt;=60,"SENIOR CITIZEN","OLD CITIZEN"))))</f>
        <v>OLD CITIZEN</v>
      </c>
      <c r="L420" s="1" t="s">
        <v>31</v>
      </c>
      <c r="M420" s="1" t="s">
        <v>25</v>
      </c>
      <c r="N420" s="13">
        <f>VLOOKUP(Table1[[#This Row],[TRANSACTION ID]],'Transaction ID Record'!$C$3:$D$510,2,FALSE)</f>
        <v>84890</v>
      </c>
    </row>
    <row r="421" spans="1:14" x14ac:dyDescent="0.35">
      <c r="A421" s="6" t="str">
        <f>TEXT(Table1[[#This Row],[DATE]],"MMMM")</f>
        <v>October</v>
      </c>
      <c r="B421" s="10">
        <v>44854</v>
      </c>
      <c r="C421" s="1" t="s">
        <v>710</v>
      </c>
      <c r="D421" s="1" t="str">
        <f>UPPER(Table1[[#This Row],[NAME2]])</f>
        <v>LANI KEY</v>
      </c>
      <c r="E421" s="1" t="s">
        <v>92</v>
      </c>
      <c r="F421" s="1" t="s">
        <v>804</v>
      </c>
      <c r="G421" s="1" t="s">
        <v>21</v>
      </c>
      <c r="H421" s="1" t="s">
        <v>93</v>
      </c>
      <c r="I421" s="1" t="s">
        <v>23</v>
      </c>
      <c r="J421" s="9">
        <v>31</v>
      </c>
      <c r="K421" s="1" t="str">
        <f>IF(Table1[[#This Row],[AGE]]&lt;=18,"CHILD",IF(Table1[[#This Row],[AGE]]&lt;=20,"TEEN",IF(Table1[[#This Row],[AGE]]&lt;=40,"ADULT",IF(Table1[[#This Row],[AGE]]&lt;=60,"SENIOR CITIZEN","OLD CITIZEN"))))</f>
        <v>ADULT</v>
      </c>
      <c r="L421" s="1" t="s">
        <v>16</v>
      </c>
      <c r="M421" s="1" t="s">
        <v>47</v>
      </c>
      <c r="N421" s="13">
        <f>VLOOKUP(Table1[[#This Row],[TRANSACTION ID]],'Transaction ID Record'!$C$3:$D$510,2,FALSE)</f>
        <v>163068</v>
      </c>
    </row>
    <row r="422" spans="1:14" x14ac:dyDescent="0.35">
      <c r="A422" s="6" t="str">
        <f>TEXT(Table1[[#This Row],[DATE]],"MMMM")</f>
        <v>October</v>
      </c>
      <c r="B422" s="10">
        <v>44856</v>
      </c>
      <c r="C422" s="1" t="s">
        <v>711</v>
      </c>
      <c r="D422" s="1" t="str">
        <f>UPPER(Table1[[#This Row],[NAME2]])</f>
        <v>BRYNNE NANKAM</v>
      </c>
      <c r="E422" s="1" t="s">
        <v>104</v>
      </c>
      <c r="F422" s="1" t="s">
        <v>806</v>
      </c>
      <c r="G422" s="1" t="s">
        <v>13</v>
      </c>
      <c r="H422" s="1" t="s">
        <v>105</v>
      </c>
      <c r="I422" s="1" t="s">
        <v>30</v>
      </c>
      <c r="J422" s="9">
        <v>64</v>
      </c>
      <c r="K422" s="1" t="str">
        <f>IF(Table1[[#This Row],[AGE]]&lt;=18,"CHILD",IF(Table1[[#This Row],[AGE]]&lt;=20,"TEEN",IF(Table1[[#This Row],[AGE]]&lt;=40,"ADULT",IF(Table1[[#This Row],[AGE]]&lt;=60,"SENIOR CITIZEN","OLD CITIZEN"))))</f>
        <v>OLD CITIZEN</v>
      </c>
      <c r="L422" s="1" t="s">
        <v>31</v>
      </c>
      <c r="M422" s="1" t="s">
        <v>47</v>
      </c>
      <c r="N422" s="13">
        <f>VLOOKUP(Table1[[#This Row],[TRANSACTION ID]],'Transaction ID Record'!$C$3:$D$510,2,FALSE)</f>
        <v>146595</v>
      </c>
    </row>
    <row r="423" spans="1:14" x14ac:dyDescent="0.35">
      <c r="A423" s="6" t="str">
        <f>TEXT(Table1[[#This Row],[DATE]],"MMMM")</f>
        <v>October</v>
      </c>
      <c r="B423" s="10">
        <v>44857</v>
      </c>
      <c r="C423" s="1" t="s">
        <v>712</v>
      </c>
      <c r="D423" s="1" t="str">
        <f>UPPER(Table1[[#This Row],[NAME2]])</f>
        <v>JAMES MCCARTY</v>
      </c>
      <c r="E423" s="1" t="s">
        <v>558</v>
      </c>
      <c r="F423" s="1" t="s">
        <v>559</v>
      </c>
      <c r="G423" s="1" t="s">
        <v>13</v>
      </c>
      <c r="H423" s="1" t="s">
        <v>560</v>
      </c>
      <c r="I423" s="1" t="s">
        <v>15</v>
      </c>
      <c r="J423" s="9">
        <v>76</v>
      </c>
      <c r="K423" s="1" t="str">
        <f>IF(Table1[[#This Row],[AGE]]&lt;=18,"CHILD",IF(Table1[[#This Row],[AGE]]&lt;=20,"TEEN",IF(Table1[[#This Row],[AGE]]&lt;=40,"ADULT",IF(Table1[[#This Row],[AGE]]&lt;=60,"SENIOR CITIZEN","OLD CITIZEN"))))</f>
        <v>OLD CITIZEN</v>
      </c>
      <c r="L423" s="1" t="s">
        <v>151</v>
      </c>
      <c r="M423" s="1" t="s">
        <v>25</v>
      </c>
      <c r="N423" s="13">
        <f>VLOOKUP(Table1[[#This Row],[TRANSACTION ID]],'Transaction ID Record'!$C$3:$D$510,2,FALSE)</f>
        <v>103758</v>
      </c>
    </row>
    <row r="424" spans="1:14" x14ac:dyDescent="0.35">
      <c r="A424" s="6" t="str">
        <f>TEXT(Table1[[#This Row],[DATE]],"MMMM")</f>
        <v>October</v>
      </c>
      <c r="B424" s="10">
        <v>44860</v>
      </c>
      <c r="C424" s="1" t="s">
        <v>713</v>
      </c>
      <c r="D424" s="1" t="str">
        <f>UPPER(Table1[[#This Row],[NAME2]])</f>
        <v>LEONARD GILBERT</v>
      </c>
      <c r="E424" s="1" t="s">
        <v>192</v>
      </c>
      <c r="F424" s="1" t="s">
        <v>813</v>
      </c>
      <c r="G424" s="1" t="s">
        <v>13</v>
      </c>
      <c r="H424" s="1" t="s">
        <v>193</v>
      </c>
      <c r="I424" s="1" t="s">
        <v>15</v>
      </c>
      <c r="J424" s="9">
        <v>40</v>
      </c>
      <c r="K424" s="1" t="str">
        <f>IF(Table1[[#This Row],[AGE]]&lt;=18,"CHILD",IF(Table1[[#This Row],[AGE]]&lt;=20,"TEEN",IF(Table1[[#This Row],[AGE]]&lt;=40,"ADULT",IF(Table1[[#This Row],[AGE]]&lt;=60,"SENIOR CITIZEN","OLD CITIZEN"))))</f>
        <v>ADULT</v>
      </c>
      <c r="L424" s="1" t="s">
        <v>16</v>
      </c>
      <c r="M424" s="1" t="s">
        <v>47</v>
      </c>
      <c r="N424" s="13">
        <f>VLOOKUP(Table1[[#This Row],[TRANSACTION ID]],'Transaction ID Record'!$C$3:$D$510,2,FALSE)</f>
        <v>157532</v>
      </c>
    </row>
    <row r="425" spans="1:14" x14ac:dyDescent="0.35">
      <c r="A425" s="6" t="str">
        <f>TEXT(Table1[[#This Row],[DATE]],"MMMM")</f>
        <v>October</v>
      </c>
      <c r="B425" s="10">
        <v>44861</v>
      </c>
      <c r="C425" s="1" t="s">
        <v>714</v>
      </c>
      <c r="D425" s="1" t="str">
        <f>UPPER(Table1[[#This Row],[NAME2]])</f>
        <v>NYSSA WALTON</v>
      </c>
      <c r="E425" s="1" t="s">
        <v>590</v>
      </c>
      <c r="F425" s="1" t="s">
        <v>591</v>
      </c>
      <c r="G425" s="1" t="s">
        <v>13</v>
      </c>
      <c r="H425" s="1" t="s">
        <v>592</v>
      </c>
      <c r="I425" s="1" t="s">
        <v>30</v>
      </c>
      <c r="J425" s="9">
        <v>44</v>
      </c>
      <c r="K425" s="1" t="str">
        <f>IF(Table1[[#This Row],[AGE]]&lt;=18,"CHILD",IF(Table1[[#This Row],[AGE]]&lt;=20,"TEEN",IF(Table1[[#This Row],[AGE]]&lt;=40,"ADULT",IF(Table1[[#This Row],[AGE]]&lt;=60,"SENIOR CITIZEN","OLD CITIZEN"))))</f>
        <v>SENIOR CITIZEN</v>
      </c>
      <c r="L425" s="1" t="s">
        <v>66</v>
      </c>
      <c r="M425" s="1" t="s">
        <v>25</v>
      </c>
      <c r="N425" s="13">
        <f>VLOOKUP(Table1[[#This Row],[TRANSACTION ID]],'Transaction ID Record'!$C$3:$D$510,2,FALSE)</f>
        <v>125352</v>
      </c>
    </row>
    <row r="426" spans="1:14" x14ac:dyDescent="0.35">
      <c r="A426" s="6" t="str">
        <f>TEXT(Table1[[#This Row],[DATE]],"MMMM")</f>
        <v>October</v>
      </c>
      <c r="B426" s="10">
        <v>44864</v>
      </c>
      <c r="C426" s="1" t="s">
        <v>715</v>
      </c>
      <c r="D426" s="1" t="str">
        <f>UPPER(Table1[[#This Row],[NAME2]])</f>
        <v>OLAYINKA CANINI</v>
      </c>
      <c r="E426" s="1" t="s">
        <v>319</v>
      </c>
      <c r="F426" s="1" t="s">
        <v>823</v>
      </c>
      <c r="G426" s="1" t="s">
        <v>21</v>
      </c>
      <c r="H426" s="1" t="s">
        <v>320</v>
      </c>
      <c r="I426" s="1" t="s">
        <v>30</v>
      </c>
      <c r="J426" s="9">
        <v>45</v>
      </c>
      <c r="K426" s="1" t="str">
        <f>IF(Table1[[#This Row],[AGE]]&lt;=18,"CHILD",IF(Table1[[#This Row],[AGE]]&lt;=20,"TEEN",IF(Table1[[#This Row],[AGE]]&lt;=40,"ADULT",IF(Table1[[#This Row],[AGE]]&lt;=60,"SENIOR CITIZEN","OLD CITIZEN"))))</f>
        <v>SENIOR CITIZEN</v>
      </c>
      <c r="L426" s="1" t="s">
        <v>151</v>
      </c>
      <c r="M426" s="1" t="s">
        <v>32</v>
      </c>
      <c r="N426" s="13">
        <f>VLOOKUP(Table1[[#This Row],[TRANSACTION ID]],'Transaction ID Record'!$C$3:$D$510,2,FALSE)</f>
        <v>95076</v>
      </c>
    </row>
    <row r="427" spans="1:14" x14ac:dyDescent="0.35">
      <c r="A427" s="6" t="str">
        <f>TEXT(Table1[[#This Row],[DATE]],"MMMM")</f>
        <v>October</v>
      </c>
      <c r="B427" s="10">
        <v>44865</v>
      </c>
      <c r="C427" s="1" t="s">
        <v>716</v>
      </c>
      <c r="D427" s="1" t="str">
        <f>UPPER(Table1[[#This Row],[NAME2]])</f>
        <v>ISADORA JONES</v>
      </c>
      <c r="E427" s="1" t="s">
        <v>394</v>
      </c>
      <c r="F427" s="1" t="s">
        <v>395</v>
      </c>
      <c r="G427" s="1" t="s">
        <v>13</v>
      </c>
      <c r="H427" s="1" t="s">
        <v>396</v>
      </c>
      <c r="I427" s="1" t="s">
        <v>23</v>
      </c>
      <c r="J427" s="9">
        <v>24</v>
      </c>
      <c r="K427" s="1" t="str">
        <f>IF(Table1[[#This Row],[AGE]]&lt;=18,"CHILD",IF(Table1[[#This Row],[AGE]]&lt;=20,"TEEN",IF(Table1[[#This Row],[AGE]]&lt;=40,"ADULT",IF(Table1[[#This Row],[AGE]]&lt;=60,"SENIOR CITIZEN","OLD CITIZEN"))))</f>
        <v>ADULT</v>
      </c>
      <c r="L427" s="1" t="s">
        <v>37</v>
      </c>
      <c r="M427" s="1" t="s">
        <v>17</v>
      </c>
      <c r="N427" s="13">
        <f>VLOOKUP(Table1[[#This Row],[TRANSACTION ID]],'Transaction ID Record'!$C$3:$D$510,2,FALSE)</f>
        <v>93537</v>
      </c>
    </row>
    <row r="428" spans="1:14" x14ac:dyDescent="0.35">
      <c r="A428" s="6" t="str">
        <f>TEXT(Table1[[#This Row],[DATE]],"MMMM")</f>
        <v>October</v>
      </c>
      <c r="B428" s="10">
        <v>44865</v>
      </c>
      <c r="C428" s="1" t="s">
        <v>717</v>
      </c>
      <c r="D428" s="1" t="str">
        <f>UPPER(Table1[[#This Row],[NAME2]])</f>
        <v>CELESTE MILLER</v>
      </c>
      <c r="E428" s="1" t="s">
        <v>129</v>
      </c>
      <c r="F428" s="1" t="s">
        <v>130</v>
      </c>
      <c r="G428" s="1" t="s">
        <v>21</v>
      </c>
      <c r="H428" s="1" t="s">
        <v>131</v>
      </c>
      <c r="I428" s="1" t="s">
        <v>23</v>
      </c>
      <c r="J428" s="9">
        <v>66</v>
      </c>
      <c r="K428" s="1" t="str">
        <f>IF(Table1[[#This Row],[AGE]]&lt;=18,"CHILD",IF(Table1[[#This Row],[AGE]]&lt;=20,"TEEN",IF(Table1[[#This Row],[AGE]]&lt;=40,"ADULT",IF(Table1[[#This Row],[AGE]]&lt;=60,"SENIOR CITIZEN","OLD CITIZEN"))))</f>
        <v>OLD CITIZEN</v>
      </c>
      <c r="L428" s="1" t="s">
        <v>57</v>
      </c>
      <c r="M428" s="1" t="s">
        <v>47</v>
      </c>
      <c r="N428" s="13">
        <f>VLOOKUP(Table1[[#This Row],[TRANSACTION ID]],'Transaction ID Record'!$C$3:$D$510,2,FALSE)</f>
        <v>168914</v>
      </c>
    </row>
    <row r="429" spans="1:14" x14ac:dyDescent="0.35">
      <c r="A429" s="6" t="str">
        <f>TEXT(Table1[[#This Row],[DATE]],"MMMM")</f>
        <v>November</v>
      </c>
      <c r="B429" s="10">
        <v>44866</v>
      </c>
      <c r="C429" s="1" t="s">
        <v>718</v>
      </c>
      <c r="D429" s="1" t="str">
        <f>UPPER(Table1[[#This Row],[NAME2]])</f>
        <v>ADELEKE FITZPATRICK</v>
      </c>
      <c r="E429" s="1" t="s">
        <v>121</v>
      </c>
      <c r="F429" s="1" t="s">
        <v>122</v>
      </c>
      <c r="G429" s="1" t="s">
        <v>13</v>
      </c>
      <c r="H429" s="1" t="s">
        <v>123</v>
      </c>
      <c r="I429" s="1" t="s">
        <v>15</v>
      </c>
      <c r="J429" s="9">
        <v>59</v>
      </c>
      <c r="K429" s="1" t="str">
        <f>IF(Table1[[#This Row],[AGE]]&lt;=18,"CHILD",IF(Table1[[#This Row],[AGE]]&lt;=20,"TEEN",IF(Table1[[#This Row],[AGE]]&lt;=40,"ADULT",IF(Table1[[#This Row],[AGE]]&lt;=60,"SENIOR CITIZEN","OLD CITIZEN"))))</f>
        <v>SENIOR CITIZEN</v>
      </c>
      <c r="L429" s="1" t="s">
        <v>42</v>
      </c>
      <c r="M429" s="1" t="s">
        <v>32</v>
      </c>
      <c r="N429" s="13">
        <f>VLOOKUP(Table1[[#This Row],[TRANSACTION ID]],'Transaction ID Record'!$C$3:$D$510,2,FALSE)</f>
        <v>111312</v>
      </c>
    </row>
    <row r="430" spans="1:14" x14ac:dyDescent="0.35">
      <c r="A430" s="6" t="str">
        <f>TEXT(Table1[[#This Row],[DATE]],"MMMM")</f>
        <v>November</v>
      </c>
      <c r="B430" s="10">
        <v>44866</v>
      </c>
      <c r="C430" s="1" t="s">
        <v>719</v>
      </c>
      <c r="D430" s="1" t="str">
        <f>UPPER(Table1[[#This Row],[NAME2]])</f>
        <v>ATHENA MACDONALD</v>
      </c>
      <c r="E430" s="1" t="s">
        <v>169</v>
      </c>
      <c r="F430" s="1" t="s">
        <v>170</v>
      </c>
      <c r="G430" s="1" t="s">
        <v>13</v>
      </c>
      <c r="H430" s="1" t="s">
        <v>171</v>
      </c>
      <c r="I430" s="1" t="s">
        <v>30</v>
      </c>
      <c r="J430" s="9">
        <v>29</v>
      </c>
      <c r="K430" s="1" t="str">
        <f>IF(Table1[[#This Row],[AGE]]&lt;=18,"CHILD",IF(Table1[[#This Row],[AGE]]&lt;=20,"TEEN",IF(Table1[[#This Row],[AGE]]&lt;=40,"ADULT",IF(Table1[[#This Row],[AGE]]&lt;=60,"SENIOR CITIZEN","OLD CITIZEN"))))</f>
        <v>ADULT</v>
      </c>
      <c r="L430" s="1" t="s">
        <v>16</v>
      </c>
      <c r="M430" s="1" t="s">
        <v>61</v>
      </c>
      <c r="N430" s="13">
        <f>VLOOKUP(Table1[[#This Row],[TRANSACTION ID]],'Transaction ID Record'!$C$3:$D$510,2,FALSE)</f>
        <v>79030</v>
      </c>
    </row>
    <row r="431" spans="1:14" x14ac:dyDescent="0.35">
      <c r="A431" s="6" t="str">
        <f>TEXT(Table1[[#This Row],[DATE]],"MMMM")</f>
        <v>November</v>
      </c>
      <c r="B431" s="10">
        <v>44868</v>
      </c>
      <c r="C431" s="1" t="s">
        <v>720</v>
      </c>
      <c r="D431" s="1" t="str">
        <f>UPPER(Table1[[#This Row],[NAME2]])</f>
        <v>AMBER YANCER</v>
      </c>
      <c r="E431" s="1" t="s">
        <v>542</v>
      </c>
      <c r="F431" s="1" t="s">
        <v>835</v>
      </c>
      <c r="G431" s="1" t="s">
        <v>21</v>
      </c>
      <c r="H431" s="1" t="s">
        <v>543</v>
      </c>
      <c r="I431" s="1" t="s">
        <v>15</v>
      </c>
      <c r="J431" s="9">
        <v>22</v>
      </c>
      <c r="K431" s="1" t="str">
        <f>IF(Table1[[#This Row],[AGE]]&lt;=18,"CHILD",IF(Table1[[#This Row],[AGE]]&lt;=20,"TEEN",IF(Table1[[#This Row],[AGE]]&lt;=40,"ADULT",IF(Table1[[#This Row],[AGE]]&lt;=60,"SENIOR CITIZEN","OLD CITIZEN"))))</f>
        <v>ADULT</v>
      </c>
      <c r="L431" s="1" t="s">
        <v>24</v>
      </c>
      <c r="M431" s="1" t="s">
        <v>17</v>
      </c>
      <c r="N431" s="13">
        <f>VLOOKUP(Table1[[#This Row],[TRANSACTION ID]],'Transaction ID Record'!$C$3:$D$510,2,FALSE)</f>
        <v>36291</v>
      </c>
    </row>
    <row r="432" spans="1:14" x14ac:dyDescent="0.35">
      <c r="A432" s="6" t="str">
        <f>TEXT(Table1[[#This Row],[DATE]],"MMMM")</f>
        <v>November</v>
      </c>
      <c r="B432" s="10">
        <v>44869</v>
      </c>
      <c r="C432" s="1" t="s">
        <v>721</v>
      </c>
      <c r="D432" s="1" t="str">
        <f>UPPER(Table1[[#This Row],[NAME2]])</f>
        <v>ARETHA PERKINS</v>
      </c>
      <c r="E432" s="1" t="s">
        <v>232</v>
      </c>
      <c r="F432" s="1" t="s">
        <v>816</v>
      </c>
      <c r="G432" s="1" t="s">
        <v>21</v>
      </c>
      <c r="H432" s="1" t="s">
        <v>233</v>
      </c>
      <c r="I432" s="1" t="s">
        <v>15</v>
      </c>
      <c r="J432" s="9">
        <v>23</v>
      </c>
      <c r="K432" s="1" t="str">
        <f>IF(Table1[[#This Row],[AGE]]&lt;=18,"CHILD",IF(Table1[[#This Row],[AGE]]&lt;=20,"TEEN",IF(Table1[[#This Row],[AGE]]&lt;=40,"ADULT",IF(Table1[[#This Row],[AGE]]&lt;=60,"SENIOR CITIZEN","OLD CITIZEN"))))</f>
        <v>ADULT</v>
      </c>
      <c r="L432" s="1" t="s">
        <v>37</v>
      </c>
      <c r="M432" s="1" t="s">
        <v>47</v>
      </c>
      <c r="N432" s="13">
        <f>VLOOKUP(Table1[[#This Row],[TRANSACTION ID]],'Transaction ID Record'!$C$3:$D$510,2,FALSE)</f>
        <v>156059</v>
      </c>
    </row>
    <row r="433" spans="1:14" x14ac:dyDescent="0.35">
      <c r="A433" s="6" t="str">
        <f>TEXT(Table1[[#This Row],[DATE]],"MMMM")</f>
        <v>November</v>
      </c>
      <c r="B433" s="10">
        <v>44869</v>
      </c>
      <c r="C433" s="1" t="s">
        <v>722</v>
      </c>
      <c r="D433" s="1" t="str">
        <f>UPPER(Table1[[#This Row],[NAME2]])</f>
        <v>LATIFAH OGBONNA</v>
      </c>
      <c r="E433" s="1" t="s">
        <v>145</v>
      </c>
      <c r="F433" s="1" t="s">
        <v>146</v>
      </c>
      <c r="G433" s="1" t="s">
        <v>13</v>
      </c>
      <c r="H433" s="1" t="s">
        <v>147</v>
      </c>
      <c r="I433" s="1" t="s">
        <v>23</v>
      </c>
      <c r="J433" s="9">
        <v>46</v>
      </c>
      <c r="K433" s="1" t="str">
        <f>IF(Table1[[#This Row],[AGE]]&lt;=18,"CHILD",IF(Table1[[#This Row],[AGE]]&lt;=20,"TEEN",IF(Table1[[#This Row],[AGE]]&lt;=40,"ADULT",IF(Table1[[#This Row],[AGE]]&lt;=60,"SENIOR CITIZEN","OLD CITIZEN"))))</f>
        <v>SENIOR CITIZEN</v>
      </c>
      <c r="L433" s="1" t="s">
        <v>66</v>
      </c>
      <c r="M433" s="1" t="s">
        <v>25</v>
      </c>
      <c r="N433" s="13">
        <f>VLOOKUP(Table1[[#This Row],[TRANSACTION ID]],'Transaction ID Record'!$C$3:$D$510,2,FALSE)</f>
        <v>45389</v>
      </c>
    </row>
    <row r="434" spans="1:14" x14ac:dyDescent="0.35">
      <c r="A434" s="6" t="str">
        <f>TEXT(Table1[[#This Row],[DATE]],"MMMM")</f>
        <v>November</v>
      </c>
      <c r="B434" s="10">
        <v>44870</v>
      </c>
      <c r="C434" s="1" t="s">
        <v>723</v>
      </c>
      <c r="D434" s="1" t="str">
        <f>UPPER(Table1[[#This Row],[NAME2]])</f>
        <v>SMALL ORR</v>
      </c>
      <c r="E434" s="1" t="s">
        <v>281</v>
      </c>
      <c r="F434" s="1" t="s">
        <v>282</v>
      </c>
      <c r="G434" s="1" t="s">
        <v>21</v>
      </c>
      <c r="H434" s="1" t="s">
        <v>283</v>
      </c>
      <c r="I434" s="1" t="s">
        <v>30</v>
      </c>
      <c r="J434" s="9">
        <v>40</v>
      </c>
      <c r="K434" s="1" t="str">
        <f>IF(Table1[[#This Row],[AGE]]&lt;=18,"CHILD",IF(Table1[[#This Row],[AGE]]&lt;=20,"TEEN",IF(Table1[[#This Row],[AGE]]&lt;=40,"ADULT",IF(Table1[[#This Row],[AGE]]&lt;=60,"SENIOR CITIZEN","OLD CITIZEN"))))</f>
        <v>ADULT</v>
      </c>
      <c r="L434" s="1" t="s">
        <v>42</v>
      </c>
      <c r="M434" s="1" t="s">
        <v>32</v>
      </c>
      <c r="N434" s="13">
        <f>VLOOKUP(Table1[[#This Row],[TRANSACTION ID]],'Transaction ID Record'!$C$3:$D$510,2,FALSE)</f>
        <v>45544</v>
      </c>
    </row>
    <row r="435" spans="1:14" x14ac:dyDescent="0.35">
      <c r="A435" s="6" t="str">
        <f>TEXT(Table1[[#This Row],[DATE]],"MMMM")</f>
        <v>November</v>
      </c>
      <c r="B435" s="10">
        <v>44870</v>
      </c>
      <c r="C435" s="1" t="s">
        <v>724</v>
      </c>
      <c r="D435" s="1" t="str">
        <f>UPPER(Table1[[#This Row],[NAME2]])</f>
        <v>OLAOGUN KIDD</v>
      </c>
      <c r="E435" s="1" t="s">
        <v>133</v>
      </c>
      <c r="F435" s="1" t="s">
        <v>134</v>
      </c>
      <c r="G435" s="1" t="s">
        <v>13</v>
      </c>
      <c r="H435" s="1" t="s">
        <v>135</v>
      </c>
      <c r="I435" s="1" t="s">
        <v>23</v>
      </c>
      <c r="J435" s="9">
        <v>68</v>
      </c>
      <c r="K435" s="1" t="str">
        <f>IF(Table1[[#This Row],[AGE]]&lt;=18,"CHILD",IF(Table1[[#This Row],[AGE]]&lt;=20,"TEEN",IF(Table1[[#This Row],[AGE]]&lt;=40,"ADULT",IF(Table1[[#This Row],[AGE]]&lt;=60,"SENIOR CITIZEN","OLD CITIZEN"))))</f>
        <v>OLD CITIZEN</v>
      </c>
      <c r="L435" s="1" t="s">
        <v>151</v>
      </c>
      <c r="M435" s="1" t="s">
        <v>47</v>
      </c>
      <c r="N435" s="13">
        <f>VLOOKUP(Table1[[#This Row],[TRANSACTION ID]],'Transaction ID Record'!$C$3:$D$510,2,FALSE)</f>
        <v>64962</v>
      </c>
    </row>
    <row r="436" spans="1:14" x14ac:dyDescent="0.35">
      <c r="A436" s="6" t="str">
        <f>TEXT(Table1[[#This Row],[DATE]],"MMMM")</f>
        <v>November</v>
      </c>
      <c r="B436" s="10">
        <v>44870</v>
      </c>
      <c r="C436" s="1" t="s">
        <v>725</v>
      </c>
      <c r="D436" s="1" t="str">
        <f>UPPER(Table1[[#This Row],[NAME2]])</f>
        <v>OMOLARA FERRIS</v>
      </c>
      <c r="E436" s="1" t="s">
        <v>183</v>
      </c>
      <c r="F436" s="1" t="s">
        <v>184</v>
      </c>
      <c r="G436" s="1" t="s">
        <v>21</v>
      </c>
      <c r="H436" s="1" t="s">
        <v>185</v>
      </c>
      <c r="I436" s="1" t="s">
        <v>15</v>
      </c>
      <c r="J436" s="9">
        <v>25</v>
      </c>
      <c r="K436" s="1" t="str">
        <f>IF(Table1[[#This Row],[AGE]]&lt;=18,"CHILD",IF(Table1[[#This Row],[AGE]]&lt;=20,"TEEN",IF(Table1[[#This Row],[AGE]]&lt;=40,"ADULT",IF(Table1[[#This Row],[AGE]]&lt;=60,"SENIOR CITIZEN","OLD CITIZEN"))))</f>
        <v>ADULT</v>
      </c>
      <c r="L436" s="1" t="s">
        <v>52</v>
      </c>
      <c r="M436" s="1" t="s">
        <v>25</v>
      </c>
      <c r="N436" s="13">
        <f>VLOOKUP(Table1[[#This Row],[TRANSACTION ID]],'Transaction ID Record'!$C$3:$D$510,2,FALSE)</f>
        <v>111465</v>
      </c>
    </row>
    <row r="437" spans="1:14" x14ac:dyDescent="0.35">
      <c r="A437" s="6" t="str">
        <f>TEXT(Table1[[#This Row],[DATE]],"MMMM")</f>
        <v>November</v>
      </c>
      <c r="B437" s="10">
        <v>44871</v>
      </c>
      <c r="C437" s="1" t="s">
        <v>726</v>
      </c>
      <c r="D437" s="1" t="str">
        <f>UPPER(Table1[[#This Row],[NAME2]])</f>
        <v>KEATON JIMENEZ</v>
      </c>
      <c r="E437" s="1" t="s">
        <v>250</v>
      </c>
      <c r="F437" s="1" t="s">
        <v>251</v>
      </c>
      <c r="G437" s="1" t="s">
        <v>21</v>
      </c>
      <c r="H437" s="1" t="s">
        <v>252</v>
      </c>
      <c r="I437" s="1" t="s">
        <v>15</v>
      </c>
      <c r="J437" s="9">
        <v>35</v>
      </c>
      <c r="K437" s="1" t="str">
        <f>IF(Table1[[#This Row],[AGE]]&lt;=18,"CHILD",IF(Table1[[#This Row],[AGE]]&lt;=20,"TEEN",IF(Table1[[#This Row],[AGE]]&lt;=40,"ADULT",IF(Table1[[#This Row],[AGE]]&lt;=60,"SENIOR CITIZEN","OLD CITIZEN"))))</f>
        <v>ADULT</v>
      </c>
      <c r="L437" s="1" t="s">
        <v>151</v>
      </c>
      <c r="M437" s="1" t="s">
        <v>17</v>
      </c>
      <c r="N437" s="13">
        <f>VLOOKUP(Table1[[#This Row],[TRANSACTION ID]],'Transaction ID Record'!$C$3:$D$510,2,FALSE)</f>
        <v>148688</v>
      </c>
    </row>
    <row r="438" spans="1:14" x14ac:dyDescent="0.35">
      <c r="A438" s="6" t="str">
        <f>TEXT(Table1[[#This Row],[DATE]],"MMMM")</f>
        <v>November</v>
      </c>
      <c r="B438" s="10">
        <v>44871</v>
      </c>
      <c r="C438" s="1" t="s">
        <v>727</v>
      </c>
      <c r="D438" s="1" t="str">
        <f>UPPER(Table1[[#This Row],[NAME2]])</f>
        <v>AYO EZICHI</v>
      </c>
      <c r="E438" s="1" t="s">
        <v>269</v>
      </c>
      <c r="F438" s="1" t="s">
        <v>819</v>
      </c>
      <c r="G438" s="1" t="s">
        <v>13</v>
      </c>
      <c r="H438" s="1" t="s">
        <v>270</v>
      </c>
      <c r="I438" s="1" t="s">
        <v>15</v>
      </c>
      <c r="J438" s="9">
        <v>40</v>
      </c>
      <c r="K438" s="1" t="str">
        <f>IF(Table1[[#This Row],[AGE]]&lt;=18,"CHILD",IF(Table1[[#This Row],[AGE]]&lt;=20,"TEEN",IF(Table1[[#This Row],[AGE]]&lt;=40,"ADULT",IF(Table1[[#This Row],[AGE]]&lt;=60,"SENIOR CITIZEN","OLD CITIZEN"))))</f>
        <v>ADULT</v>
      </c>
      <c r="L438" s="1" t="s">
        <v>24</v>
      </c>
      <c r="M438" s="1" t="s">
        <v>47</v>
      </c>
      <c r="N438" s="13">
        <f>VLOOKUP(Table1[[#This Row],[TRANSACTION ID]],'Transaction ID Record'!$C$3:$D$510,2,FALSE)</f>
        <v>43213</v>
      </c>
    </row>
    <row r="439" spans="1:14" x14ac:dyDescent="0.35">
      <c r="A439" s="6" t="str">
        <f>TEXT(Table1[[#This Row],[DATE]],"MMMM")</f>
        <v>November</v>
      </c>
      <c r="B439" s="10">
        <v>44871</v>
      </c>
      <c r="C439" s="1" t="s">
        <v>728</v>
      </c>
      <c r="D439" s="1" t="str">
        <f>UPPER(Table1[[#This Row],[NAME2]])</f>
        <v>AYO EZICHI</v>
      </c>
      <c r="E439" s="1" t="s">
        <v>269</v>
      </c>
      <c r="F439" s="1" t="s">
        <v>819</v>
      </c>
      <c r="G439" s="1" t="s">
        <v>13</v>
      </c>
      <c r="H439" s="1" t="s">
        <v>270</v>
      </c>
      <c r="I439" s="1" t="s">
        <v>15</v>
      </c>
      <c r="J439" s="9">
        <v>40</v>
      </c>
      <c r="K439" s="1" t="str">
        <f>IF(Table1[[#This Row],[AGE]]&lt;=18,"CHILD",IF(Table1[[#This Row],[AGE]]&lt;=20,"TEEN",IF(Table1[[#This Row],[AGE]]&lt;=40,"ADULT",IF(Table1[[#This Row],[AGE]]&lt;=60,"SENIOR CITIZEN","OLD CITIZEN"))))</f>
        <v>ADULT</v>
      </c>
      <c r="L439" s="1" t="s">
        <v>167</v>
      </c>
      <c r="M439" s="1" t="s">
        <v>47</v>
      </c>
      <c r="N439" s="13">
        <f>VLOOKUP(Table1[[#This Row],[TRANSACTION ID]],'Transaction ID Record'!$C$3:$D$510,2,FALSE)</f>
        <v>63523</v>
      </c>
    </row>
    <row r="440" spans="1:14" x14ac:dyDescent="0.35">
      <c r="A440" s="6" t="str">
        <f>TEXT(Table1[[#This Row],[DATE]],"MMMM")</f>
        <v>November</v>
      </c>
      <c r="B440" s="10">
        <v>44872</v>
      </c>
      <c r="C440" s="1" t="s">
        <v>729</v>
      </c>
      <c r="D440" s="1" t="str">
        <f>UPPER(Table1[[#This Row],[NAME2]])</f>
        <v>ODUMOSU MCCLURE</v>
      </c>
      <c r="E440" s="1" t="s">
        <v>63</v>
      </c>
      <c r="F440" s="1" t="s">
        <v>64</v>
      </c>
      <c r="G440" s="1" t="s">
        <v>13</v>
      </c>
      <c r="H440" s="1" t="s">
        <v>65</v>
      </c>
      <c r="I440" s="1" t="s">
        <v>15</v>
      </c>
      <c r="J440" s="9">
        <v>60</v>
      </c>
      <c r="K440" s="1" t="str">
        <f>IF(Table1[[#This Row],[AGE]]&lt;=18,"CHILD",IF(Table1[[#This Row],[AGE]]&lt;=20,"TEEN",IF(Table1[[#This Row],[AGE]]&lt;=40,"ADULT",IF(Table1[[#This Row],[AGE]]&lt;=60,"SENIOR CITIZEN","OLD CITIZEN"))))</f>
        <v>SENIOR CITIZEN</v>
      </c>
      <c r="L440" s="1" t="s">
        <v>66</v>
      </c>
      <c r="M440" s="1" t="s">
        <v>17</v>
      </c>
      <c r="N440" s="13">
        <f>VLOOKUP(Table1[[#This Row],[TRANSACTION ID]],'Transaction ID Record'!$C$3:$D$510,2,FALSE)</f>
        <v>138471</v>
      </c>
    </row>
    <row r="441" spans="1:14" x14ac:dyDescent="0.35">
      <c r="A441" s="6" t="str">
        <f>TEXT(Table1[[#This Row],[DATE]],"MMMM")</f>
        <v>November</v>
      </c>
      <c r="B441" s="10">
        <v>44872</v>
      </c>
      <c r="C441" s="1" t="s">
        <v>730</v>
      </c>
      <c r="D441" s="1" t="str">
        <f>UPPER(Table1[[#This Row],[NAME2]])</f>
        <v>HIROKO PANOVSKY</v>
      </c>
      <c r="E441" s="1" t="s">
        <v>100</v>
      </c>
      <c r="F441" s="1" t="s">
        <v>101</v>
      </c>
      <c r="G441" s="1" t="s">
        <v>13</v>
      </c>
      <c r="H441" s="1" t="s">
        <v>102</v>
      </c>
      <c r="I441" s="1" t="s">
        <v>15</v>
      </c>
      <c r="J441" s="9">
        <v>59</v>
      </c>
      <c r="K441" s="1" t="str">
        <f>IF(Table1[[#This Row],[AGE]]&lt;=18,"CHILD",IF(Table1[[#This Row],[AGE]]&lt;=20,"TEEN",IF(Table1[[#This Row],[AGE]]&lt;=40,"ADULT",IF(Table1[[#This Row],[AGE]]&lt;=60,"SENIOR CITIZEN","OLD CITIZEN"))))</f>
        <v>SENIOR CITIZEN</v>
      </c>
      <c r="L441" s="1" t="s">
        <v>16</v>
      </c>
      <c r="M441" s="1" t="s">
        <v>47</v>
      </c>
      <c r="N441" s="13">
        <f>VLOOKUP(Table1[[#This Row],[TRANSACTION ID]],'Transaction ID Record'!$C$3:$D$510,2,FALSE)</f>
        <v>155684</v>
      </c>
    </row>
    <row r="442" spans="1:14" x14ac:dyDescent="0.35">
      <c r="A442" s="6" t="str">
        <f>TEXT(Table1[[#This Row],[DATE]],"MMMM")</f>
        <v>November</v>
      </c>
      <c r="B442" s="10">
        <v>44873</v>
      </c>
      <c r="C442" s="1" t="s">
        <v>731</v>
      </c>
      <c r="D442" s="1" t="str">
        <f>UPPER(Table1[[#This Row],[NAME2]])</f>
        <v>FEMI JORDAN</v>
      </c>
      <c r="E442" s="1" t="s">
        <v>149</v>
      </c>
      <c r="F442" s="1" t="s">
        <v>810</v>
      </c>
      <c r="G442" s="1" t="s">
        <v>21</v>
      </c>
      <c r="H442" s="1" t="s">
        <v>150</v>
      </c>
      <c r="I442" s="1" t="s">
        <v>15</v>
      </c>
      <c r="J442" s="9">
        <v>68</v>
      </c>
      <c r="K442" s="1" t="str">
        <f>IF(Table1[[#This Row],[AGE]]&lt;=18,"CHILD",IF(Table1[[#This Row],[AGE]]&lt;=20,"TEEN",IF(Table1[[#This Row],[AGE]]&lt;=40,"ADULT",IF(Table1[[#This Row],[AGE]]&lt;=60,"SENIOR CITIZEN","OLD CITIZEN"))))</f>
        <v>OLD CITIZEN</v>
      </c>
      <c r="L442" s="1" t="s">
        <v>66</v>
      </c>
      <c r="M442" s="1" t="s">
        <v>25</v>
      </c>
      <c r="N442" s="13">
        <f>VLOOKUP(Table1[[#This Row],[TRANSACTION ID]],'Transaction ID Record'!$C$3:$D$510,2,FALSE)</f>
        <v>96700</v>
      </c>
    </row>
    <row r="443" spans="1:14" x14ac:dyDescent="0.35">
      <c r="A443" s="6" t="str">
        <f>TEXT(Table1[[#This Row],[DATE]],"MMMM")</f>
        <v>November</v>
      </c>
      <c r="B443" s="10">
        <v>44873</v>
      </c>
      <c r="C443" s="1" t="s">
        <v>732</v>
      </c>
      <c r="D443" s="1" t="str">
        <f>UPPER(Table1[[#This Row],[NAME2]])</f>
        <v>ADEBOLA EZICHI</v>
      </c>
      <c r="E443" s="1" t="s">
        <v>137</v>
      </c>
      <c r="F443" s="1" t="s">
        <v>138</v>
      </c>
      <c r="G443" s="1" t="s">
        <v>21</v>
      </c>
      <c r="H443" s="1" t="s">
        <v>139</v>
      </c>
      <c r="I443" s="1" t="s">
        <v>15</v>
      </c>
      <c r="J443" s="9">
        <v>37</v>
      </c>
      <c r="K443" s="1" t="str">
        <f>IF(Table1[[#This Row],[AGE]]&lt;=18,"CHILD",IF(Table1[[#This Row],[AGE]]&lt;=20,"TEEN",IF(Table1[[#This Row],[AGE]]&lt;=40,"ADULT",IF(Table1[[#This Row],[AGE]]&lt;=60,"SENIOR CITIZEN","OLD CITIZEN"))))</f>
        <v>ADULT</v>
      </c>
      <c r="L443" s="1" t="s">
        <v>24</v>
      </c>
      <c r="M443" s="1" t="s">
        <v>25</v>
      </c>
      <c r="N443" s="13">
        <f>VLOOKUP(Table1[[#This Row],[TRANSACTION ID]],'Transaction ID Record'!$C$3:$D$510,2,FALSE)</f>
        <v>172323</v>
      </c>
    </row>
    <row r="444" spans="1:14" x14ac:dyDescent="0.35">
      <c r="A444" s="6" t="str">
        <f>TEXT(Table1[[#This Row],[DATE]],"MMMM")</f>
        <v>November</v>
      </c>
      <c r="B444" s="10">
        <v>44874</v>
      </c>
      <c r="C444" s="1" t="s">
        <v>733</v>
      </c>
      <c r="D444" s="1" t="str">
        <f>UPPER(Table1[[#This Row],[NAME2]])</f>
        <v>OLUDAISI JOHNSON</v>
      </c>
      <c r="E444" s="1" t="s">
        <v>259</v>
      </c>
      <c r="F444" s="1" t="s">
        <v>818</v>
      </c>
      <c r="G444" s="1" t="s">
        <v>21</v>
      </c>
      <c r="H444" s="1" t="s">
        <v>260</v>
      </c>
      <c r="I444" s="1" t="s">
        <v>30</v>
      </c>
      <c r="J444" s="9">
        <v>45</v>
      </c>
      <c r="K444" s="1" t="str">
        <f>IF(Table1[[#This Row],[AGE]]&lt;=18,"CHILD",IF(Table1[[#This Row],[AGE]]&lt;=20,"TEEN",IF(Table1[[#This Row],[AGE]]&lt;=40,"ADULT",IF(Table1[[#This Row],[AGE]]&lt;=60,"SENIOR CITIZEN","OLD CITIZEN"))))</f>
        <v>SENIOR CITIZEN</v>
      </c>
      <c r="L444" s="1" t="s">
        <v>66</v>
      </c>
      <c r="M444" s="1" t="s">
        <v>47</v>
      </c>
      <c r="N444" s="13">
        <f>VLOOKUP(Table1[[#This Row],[TRANSACTION ID]],'Transaction ID Record'!$C$3:$D$510,2,FALSE)</f>
        <v>61502</v>
      </c>
    </row>
    <row r="445" spans="1:14" x14ac:dyDescent="0.35">
      <c r="A445" s="6" t="str">
        <f>TEXT(Table1[[#This Row],[DATE]],"MMMM")</f>
        <v>November</v>
      </c>
      <c r="B445" s="10">
        <v>44875</v>
      </c>
      <c r="C445" s="1" t="s">
        <v>734</v>
      </c>
      <c r="D445" s="1" t="str">
        <f>UPPER(Table1[[#This Row],[NAME2]])</f>
        <v>ROBERT JONES</v>
      </c>
      <c r="E445" s="1" t="s">
        <v>472</v>
      </c>
      <c r="F445" s="1" t="s">
        <v>473</v>
      </c>
      <c r="G445" s="1" t="s">
        <v>21</v>
      </c>
      <c r="H445" s="1" t="s">
        <v>474</v>
      </c>
      <c r="I445" s="1" t="s">
        <v>15</v>
      </c>
      <c r="J445" s="9">
        <v>51</v>
      </c>
      <c r="K445" s="1" t="str">
        <f>IF(Table1[[#This Row],[AGE]]&lt;=18,"CHILD",IF(Table1[[#This Row],[AGE]]&lt;=20,"TEEN",IF(Table1[[#This Row],[AGE]]&lt;=40,"ADULT",IF(Table1[[#This Row],[AGE]]&lt;=60,"SENIOR CITIZEN","OLD CITIZEN"))))</f>
        <v>SENIOR CITIZEN</v>
      </c>
      <c r="L445" s="1" t="s">
        <v>66</v>
      </c>
      <c r="M445" s="1" t="s">
        <v>17</v>
      </c>
      <c r="N445" s="13">
        <f>VLOOKUP(Table1[[#This Row],[TRANSACTION ID]],'Transaction ID Record'!$C$3:$D$510,2,FALSE)</f>
        <v>169798</v>
      </c>
    </row>
    <row r="446" spans="1:14" x14ac:dyDescent="0.35">
      <c r="A446" s="6" t="str">
        <f>TEXT(Table1[[#This Row],[DATE]],"MMMM")</f>
        <v>November</v>
      </c>
      <c r="B446" s="10">
        <v>44876</v>
      </c>
      <c r="C446" s="1" t="s">
        <v>735</v>
      </c>
      <c r="D446" s="1" t="str">
        <f>UPPER(Table1[[#This Row],[NAME2]])</f>
        <v>GWENDOLYN APPLE</v>
      </c>
      <c r="E446" s="1" t="s">
        <v>628</v>
      </c>
      <c r="F446" s="1" t="s">
        <v>629</v>
      </c>
      <c r="G446" s="1" t="s">
        <v>13</v>
      </c>
      <c r="H446" s="1" t="s">
        <v>630</v>
      </c>
      <c r="I446" s="1" t="s">
        <v>23</v>
      </c>
      <c r="J446" s="9">
        <v>41</v>
      </c>
      <c r="K446" s="1" t="str">
        <f>IF(Table1[[#This Row],[AGE]]&lt;=18,"CHILD",IF(Table1[[#This Row],[AGE]]&lt;=20,"TEEN",IF(Table1[[#This Row],[AGE]]&lt;=40,"ADULT",IF(Table1[[#This Row],[AGE]]&lt;=60,"SENIOR CITIZEN","OLD CITIZEN"))))</f>
        <v>SENIOR CITIZEN</v>
      </c>
      <c r="L446" s="1" t="s">
        <v>16</v>
      </c>
      <c r="M446" s="1" t="s">
        <v>61</v>
      </c>
      <c r="N446" s="13">
        <f>VLOOKUP(Table1[[#This Row],[TRANSACTION ID]],'Transaction ID Record'!$C$3:$D$510,2,FALSE)</f>
        <v>154439</v>
      </c>
    </row>
    <row r="447" spans="1:14" x14ac:dyDescent="0.35">
      <c r="A447" s="6" t="str">
        <f>TEXT(Table1[[#This Row],[DATE]],"MMMM")</f>
        <v>November</v>
      </c>
      <c r="B447" s="10">
        <v>44876</v>
      </c>
      <c r="C447" s="1" t="s">
        <v>736</v>
      </c>
      <c r="D447" s="1" t="str">
        <f>UPPER(Table1[[#This Row],[NAME2]])</f>
        <v>EBUKA MERCER</v>
      </c>
      <c r="E447" s="1" t="s">
        <v>482</v>
      </c>
      <c r="F447" s="1" t="s">
        <v>483</v>
      </c>
      <c r="G447" s="1" t="s">
        <v>21</v>
      </c>
      <c r="H447" s="1" t="s">
        <v>484</v>
      </c>
      <c r="I447" s="1" t="s">
        <v>15</v>
      </c>
      <c r="J447" s="9">
        <v>24</v>
      </c>
      <c r="K447" s="1" t="str">
        <f>IF(Table1[[#This Row],[AGE]]&lt;=18,"CHILD",IF(Table1[[#This Row],[AGE]]&lt;=20,"TEEN",IF(Table1[[#This Row],[AGE]]&lt;=40,"ADULT",IF(Table1[[#This Row],[AGE]]&lt;=60,"SENIOR CITIZEN","OLD CITIZEN"))))</f>
        <v>ADULT</v>
      </c>
      <c r="L447" s="1" t="s">
        <v>66</v>
      </c>
      <c r="M447" s="1" t="s">
        <v>47</v>
      </c>
      <c r="N447" s="13">
        <f>VLOOKUP(Table1[[#This Row],[TRANSACTION ID]],'Transaction ID Record'!$C$3:$D$510,2,FALSE)</f>
        <v>30890</v>
      </c>
    </row>
    <row r="448" spans="1:14" x14ac:dyDescent="0.35">
      <c r="A448" s="6" t="str">
        <f>TEXT(Table1[[#This Row],[DATE]],"MMMM")</f>
        <v>November</v>
      </c>
      <c r="B448" s="10">
        <v>44877</v>
      </c>
      <c r="C448" s="1" t="s">
        <v>737</v>
      </c>
      <c r="D448" s="1" t="str">
        <f>UPPER(Table1[[#This Row],[NAME2]])</f>
        <v>ADELEKE FITZPATRICK</v>
      </c>
      <c r="E448" s="1" t="s">
        <v>121</v>
      </c>
      <c r="F448" s="1" t="s">
        <v>122</v>
      </c>
      <c r="G448" s="1" t="s">
        <v>13</v>
      </c>
      <c r="H448" s="1" t="s">
        <v>123</v>
      </c>
      <c r="I448" s="1" t="s">
        <v>15</v>
      </c>
      <c r="J448" s="9">
        <v>59</v>
      </c>
      <c r="K448" s="1" t="str">
        <f>IF(Table1[[#This Row],[AGE]]&lt;=18,"CHILD",IF(Table1[[#This Row],[AGE]]&lt;=20,"TEEN",IF(Table1[[#This Row],[AGE]]&lt;=40,"ADULT",IF(Table1[[#This Row],[AGE]]&lt;=60,"SENIOR CITIZEN","OLD CITIZEN"))))</f>
        <v>SENIOR CITIZEN</v>
      </c>
      <c r="L448" s="1" t="s">
        <v>167</v>
      </c>
      <c r="M448" s="1" t="s">
        <v>25</v>
      </c>
      <c r="N448" s="13">
        <f>VLOOKUP(Table1[[#This Row],[TRANSACTION ID]],'Transaction ID Record'!$C$3:$D$510,2,FALSE)</f>
        <v>46310</v>
      </c>
    </row>
    <row r="449" spans="1:14" x14ac:dyDescent="0.35">
      <c r="A449" s="6" t="str">
        <f>TEXT(Table1[[#This Row],[DATE]],"MMMM")</f>
        <v>November</v>
      </c>
      <c r="B449" s="10">
        <v>44878</v>
      </c>
      <c r="C449" s="1" t="s">
        <v>738</v>
      </c>
      <c r="D449" s="1" t="str">
        <f>UPPER(Table1[[#This Row],[NAME2]])</f>
        <v>PETRA PANOVSKY</v>
      </c>
      <c r="E449" s="1" t="s">
        <v>343</v>
      </c>
      <c r="F449" s="1" t="s">
        <v>825</v>
      </c>
      <c r="G449" s="1" t="s">
        <v>21</v>
      </c>
      <c r="H449" s="1" t="s">
        <v>344</v>
      </c>
      <c r="I449" s="1" t="s">
        <v>15</v>
      </c>
      <c r="J449" s="9">
        <v>59</v>
      </c>
      <c r="K449" s="1" t="str">
        <f>IF(Table1[[#This Row],[AGE]]&lt;=18,"CHILD",IF(Table1[[#This Row],[AGE]]&lt;=20,"TEEN",IF(Table1[[#This Row],[AGE]]&lt;=40,"ADULT",IF(Table1[[#This Row],[AGE]]&lt;=60,"SENIOR CITIZEN","OLD CITIZEN"))))</f>
        <v>SENIOR CITIZEN</v>
      </c>
      <c r="L449" s="1" t="s">
        <v>167</v>
      </c>
      <c r="M449" s="1" t="s">
        <v>25</v>
      </c>
      <c r="N449" s="13">
        <f>VLOOKUP(Table1[[#This Row],[TRANSACTION ID]],'Transaction ID Record'!$C$3:$D$510,2,FALSE)</f>
        <v>53967</v>
      </c>
    </row>
    <row r="450" spans="1:14" x14ac:dyDescent="0.35">
      <c r="A450" s="6" t="str">
        <f>TEXT(Table1[[#This Row],[DATE]],"MMMM")</f>
        <v>November</v>
      </c>
      <c r="B450" s="10">
        <v>44881</v>
      </c>
      <c r="C450" s="1" t="s">
        <v>739</v>
      </c>
      <c r="D450" s="1" t="str">
        <f>UPPER(Table1[[#This Row],[NAME2]])</f>
        <v>NELL YANCER</v>
      </c>
      <c r="E450" s="1" t="s">
        <v>214</v>
      </c>
      <c r="F450" s="1" t="s">
        <v>215</v>
      </c>
      <c r="G450" s="1" t="s">
        <v>21</v>
      </c>
      <c r="H450" s="1" t="s">
        <v>216</v>
      </c>
      <c r="I450" s="1" t="s">
        <v>30</v>
      </c>
      <c r="J450" s="9">
        <v>29</v>
      </c>
      <c r="K450" s="1" t="str">
        <f>IF(Table1[[#This Row],[AGE]]&lt;=18,"CHILD",IF(Table1[[#This Row],[AGE]]&lt;=20,"TEEN",IF(Table1[[#This Row],[AGE]]&lt;=40,"ADULT",IF(Table1[[#This Row],[AGE]]&lt;=60,"SENIOR CITIZEN","OLD CITIZEN"))))</f>
        <v>ADULT</v>
      </c>
      <c r="L450" s="1" t="s">
        <v>57</v>
      </c>
      <c r="M450" s="1" t="s">
        <v>47</v>
      </c>
      <c r="N450" s="13">
        <f>VLOOKUP(Table1[[#This Row],[TRANSACTION ID]],'Transaction ID Record'!$C$3:$D$510,2,FALSE)</f>
        <v>91336</v>
      </c>
    </row>
    <row r="451" spans="1:14" x14ac:dyDescent="0.35">
      <c r="A451" s="6" t="str">
        <f>TEXT(Table1[[#This Row],[DATE]],"MMMM")</f>
        <v>November</v>
      </c>
      <c r="B451" s="10">
        <v>44881</v>
      </c>
      <c r="C451" s="1" t="s">
        <v>740</v>
      </c>
      <c r="D451" s="1" t="str">
        <f>UPPER(Table1[[#This Row],[NAME2]])</f>
        <v>ADENIYI CHANG</v>
      </c>
      <c r="E451" s="1" t="s">
        <v>125</v>
      </c>
      <c r="F451" s="1" t="s">
        <v>126</v>
      </c>
      <c r="G451" s="1" t="s">
        <v>21</v>
      </c>
      <c r="H451" s="1" t="s">
        <v>127</v>
      </c>
      <c r="I451" s="1" t="s">
        <v>23</v>
      </c>
      <c r="J451" s="9">
        <v>76</v>
      </c>
      <c r="K451" s="1" t="str">
        <f>IF(Table1[[#This Row],[AGE]]&lt;=18,"CHILD",IF(Table1[[#This Row],[AGE]]&lt;=20,"TEEN",IF(Table1[[#This Row],[AGE]]&lt;=40,"ADULT",IF(Table1[[#This Row],[AGE]]&lt;=60,"SENIOR CITIZEN","OLD CITIZEN"))))</f>
        <v>OLD CITIZEN</v>
      </c>
      <c r="L451" s="1" t="s">
        <v>16</v>
      </c>
      <c r="M451" s="1" t="s">
        <v>47</v>
      </c>
      <c r="N451" s="13">
        <f>VLOOKUP(Table1[[#This Row],[TRANSACTION ID]],'Transaction ID Record'!$C$3:$D$510,2,FALSE)</f>
        <v>158328</v>
      </c>
    </row>
    <row r="452" spans="1:14" x14ac:dyDescent="0.35">
      <c r="A452" s="6" t="str">
        <f>TEXT(Table1[[#This Row],[DATE]],"MMMM")</f>
        <v>November</v>
      </c>
      <c r="B452" s="10">
        <v>44882</v>
      </c>
      <c r="C452" s="1" t="s">
        <v>741</v>
      </c>
      <c r="D452" s="1" t="str">
        <f>UPPER(Table1[[#This Row],[NAME2]])</f>
        <v>ADENIYI MCCONNELL</v>
      </c>
      <c r="E452" s="1" t="s">
        <v>398</v>
      </c>
      <c r="F452" s="1" t="s">
        <v>827</v>
      </c>
      <c r="G452" s="1" t="s">
        <v>21</v>
      </c>
      <c r="H452" s="1" t="s">
        <v>399</v>
      </c>
      <c r="I452" s="1" t="s">
        <v>15</v>
      </c>
      <c r="J452" s="9">
        <v>32</v>
      </c>
      <c r="K452" s="1" t="str">
        <f>IF(Table1[[#This Row],[AGE]]&lt;=18,"CHILD",IF(Table1[[#This Row],[AGE]]&lt;=20,"TEEN",IF(Table1[[#This Row],[AGE]]&lt;=40,"ADULT",IF(Table1[[#This Row],[AGE]]&lt;=60,"SENIOR CITIZEN","OLD CITIZEN"))))</f>
        <v>ADULT</v>
      </c>
      <c r="L452" s="1" t="s">
        <v>16</v>
      </c>
      <c r="M452" s="1" t="s">
        <v>47</v>
      </c>
      <c r="N452" s="13">
        <f>VLOOKUP(Table1[[#This Row],[TRANSACTION ID]],'Transaction ID Record'!$C$3:$D$510,2,FALSE)</f>
        <v>131046</v>
      </c>
    </row>
    <row r="453" spans="1:14" x14ac:dyDescent="0.35">
      <c r="A453" s="6" t="str">
        <f>TEXT(Table1[[#This Row],[DATE]],"MMMM")</f>
        <v>November</v>
      </c>
      <c r="B453" s="10">
        <v>44882</v>
      </c>
      <c r="C453" s="1" t="s">
        <v>742</v>
      </c>
      <c r="D453" s="1" t="str">
        <f>UPPER(Table1[[#This Row],[NAME2]])</f>
        <v>JOY CALLISTUS</v>
      </c>
      <c r="E453" s="1" t="s">
        <v>546</v>
      </c>
      <c r="F453" s="1" t="s">
        <v>547</v>
      </c>
      <c r="G453" s="1" t="s">
        <v>21</v>
      </c>
      <c r="H453" s="1" t="s">
        <v>548</v>
      </c>
      <c r="I453" s="1" t="s">
        <v>15</v>
      </c>
      <c r="J453" s="9">
        <v>36</v>
      </c>
      <c r="K453" s="1" t="str">
        <f>IF(Table1[[#This Row],[AGE]]&lt;=18,"CHILD",IF(Table1[[#This Row],[AGE]]&lt;=20,"TEEN",IF(Table1[[#This Row],[AGE]]&lt;=40,"ADULT",IF(Table1[[#This Row],[AGE]]&lt;=60,"SENIOR CITIZEN","OLD CITIZEN"))))</f>
        <v>ADULT</v>
      </c>
      <c r="L453" s="1" t="s">
        <v>42</v>
      </c>
      <c r="M453" s="1" t="s">
        <v>32</v>
      </c>
      <c r="N453" s="13">
        <f>VLOOKUP(Table1[[#This Row],[TRANSACTION ID]],'Transaction ID Record'!$C$3:$D$510,2,FALSE)</f>
        <v>9637</v>
      </c>
    </row>
    <row r="454" spans="1:14" x14ac:dyDescent="0.35">
      <c r="A454" s="6" t="str">
        <f>TEXT(Table1[[#This Row],[DATE]],"MMMM")</f>
        <v>November</v>
      </c>
      <c r="B454" s="10">
        <v>44882</v>
      </c>
      <c r="C454" s="1" t="s">
        <v>743</v>
      </c>
      <c r="D454" s="1" t="str">
        <f>UPPER(Table1[[#This Row],[NAME2]])</f>
        <v>SAHEED WARNER</v>
      </c>
      <c r="E454" s="1" t="s">
        <v>382</v>
      </c>
      <c r="F454" s="1" t="s">
        <v>383</v>
      </c>
      <c r="G454" s="1" t="s">
        <v>21</v>
      </c>
      <c r="H454" s="1" t="s">
        <v>384</v>
      </c>
      <c r="I454" s="1" t="s">
        <v>30</v>
      </c>
      <c r="J454" s="9">
        <v>72</v>
      </c>
      <c r="K454" s="1" t="str">
        <f>IF(Table1[[#This Row],[AGE]]&lt;=18,"CHILD",IF(Table1[[#This Row],[AGE]]&lt;=20,"TEEN",IF(Table1[[#This Row],[AGE]]&lt;=40,"ADULT",IF(Table1[[#This Row],[AGE]]&lt;=60,"SENIOR CITIZEN","OLD CITIZEN"))))</f>
        <v>OLD CITIZEN</v>
      </c>
      <c r="L454" s="1" t="s">
        <v>42</v>
      </c>
      <c r="M454" s="1" t="s">
        <v>61</v>
      </c>
      <c r="N454" s="13">
        <f>VLOOKUP(Table1[[#This Row],[TRANSACTION ID]],'Transaction ID Record'!$C$3:$D$510,2,FALSE)</f>
        <v>155478</v>
      </c>
    </row>
    <row r="455" spans="1:14" x14ac:dyDescent="0.35">
      <c r="A455" s="6" t="str">
        <f>TEXT(Table1[[#This Row],[DATE]],"MMMM")</f>
        <v>November</v>
      </c>
      <c r="B455" s="10">
        <v>44883</v>
      </c>
      <c r="C455" s="1" t="s">
        <v>744</v>
      </c>
      <c r="D455" s="1" t="str">
        <f>UPPER(Table1[[#This Row],[NAME2]])</f>
        <v>EBUKA MERCER</v>
      </c>
      <c r="E455" s="1" t="s">
        <v>482</v>
      </c>
      <c r="F455" s="1" t="s">
        <v>483</v>
      </c>
      <c r="G455" s="1" t="s">
        <v>21</v>
      </c>
      <c r="H455" s="1" t="s">
        <v>484</v>
      </c>
      <c r="I455" s="1" t="s">
        <v>15</v>
      </c>
      <c r="J455" s="9">
        <v>24</v>
      </c>
      <c r="K455" s="1" t="str">
        <f>IF(Table1[[#This Row],[AGE]]&lt;=18,"CHILD",IF(Table1[[#This Row],[AGE]]&lt;=20,"TEEN",IF(Table1[[#This Row],[AGE]]&lt;=40,"ADULT",IF(Table1[[#This Row],[AGE]]&lt;=60,"SENIOR CITIZEN","OLD CITIZEN"))))</f>
        <v>ADULT</v>
      </c>
      <c r="L455" s="1" t="s">
        <v>31</v>
      </c>
      <c r="M455" s="1" t="s">
        <v>32</v>
      </c>
      <c r="N455" s="13">
        <f>VLOOKUP(Table1[[#This Row],[TRANSACTION ID]],'Transaction ID Record'!$C$3:$D$510,2,FALSE)</f>
        <v>162033</v>
      </c>
    </row>
    <row r="456" spans="1:14" x14ac:dyDescent="0.35">
      <c r="A456" s="6" t="str">
        <f>TEXT(Table1[[#This Row],[DATE]],"MMMM")</f>
        <v>November</v>
      </c>
      <c r="B456" s="10">
        <v>44883</v>
      </c>
      <c r="C456" s="1" t="s">
        <v>745</v>
      </c>
      <c r="D456" s="1" t="str">
        <f>UPPER(Table1[[#This Row],[NAME2]])</f>
        <v>EHINDERO MATT</v>
      </c>
      <c r="E456" s="1" t="s">
        <v>255</v>
      </c>
      <c r="F456" s="1" t="s">
        <v>256</v>
      </c>
      <c r="G456" s="1" t="s">
        <v>13</v>
      </c>
      <c r="H456" s="1" t="s">
        <v>257</v>
      </c>
      <c r="I456" s="1" t="s">
        <v>15</v>
      </c>
      <c r="J456" s="9">
        <v>19</v>
      </c>
      <c r="K456" s="1" t="str">
        <f>IF(Table1[[#This Row],[AGE]]&lt;=18,"CHILD",IF(Table1[[#This Row],[AGE]]&lt;=20,"TEEN",IF(Table1[[#This Row],[AGE]]&lt;=40,"ADULT",IF(Table1[[#This Row],[AGE]]&lt;=60,"SENIOR CITIZEN","OLD CITIZEN"))))</f>
        <v>TEEN</v>
      </c>
      <c r="L456" s="1" t="s">
        <v>42</v>
      </c>
      <c r="M456" s="1" t="s">
        <v>17</v>
      </c>
      <c r="N456" s="13">
        <f>VLOOKUP(Table1[[#This Row],[TRANSACTION ID]],'Transaction ID Record'!$C$3:$D$510,2,FALSE)</f>
        <v>28895</v>
      </c>
    </row>
    <row r="457" spans="1:14" x14ac:dyDescent="0.35">
      <c r="A457" s="6" t="str">
        <f>TEXT(Table1[[#This Row],[DATE]],"MMMM")</f>
        <v>November</v>
      </c>
      <c r="B457" s="10">
        <v>44884</v>
      </c>
      <c r="C457" s="1" t="s">
        <v>746</v>
      </c>
      <c r="D457" s="1" t="str">
        <f>UPPER(Table1[[#This Row],[NAME2]])</f>
        <v>TOYIN MICHEAL</v>
      </c>
      <c r="E457" s="1" t="s">
        <v>218</v>
      </c>
      <c r="F457" s="1" t="s">
        <v>815</v>
      </c>
      <c r="G457" s="1" t="s">
        <v>13</v>
      </c>
      <c r="H457" s="1" t="s">
        <v>219</v>
      </c>
      <c r="I457" s="1" t="s">
        <v>15</v>
      </c>
      <c r="J457" s="9">
        <v>46</v>
      </c>
      <c r="K457" s="1" t="str">
        <f>IF(Table1[[#This Row],[AGE]]&lt;=18,"CHILD",IF(Table1[[#This Row],[AGE]]&lt;=20,"TEEN",IF(Table1[[#This Row],[AGE]]&lt;=40,"ADULT",IF(Table1[[#This Row],[AGE]]&lt;=60,"SENIOR CITIZEN","OLD CITIZEN"))))</f>
        <v>SENIOR CITIZEN</v>
      </c>
      <c r="L457" s="1" t="s">
        <v>167</v>
      </c>
      <c r="M457" s="1" t="s">
        <v>47</v>
      </c>
      <c r="N457" s="13">
        <f>VLOOKUP(Table1[[#This Row],[TRANSACTION ID]],'Transaction ID Record'!$C$3:$D$510,2,FALSE)</f>
        <v>16185</v>
      </c>
    </row>
    <row r="458" spans="1:14" x14ac:dyDescent="0.35">
      <c r="A458" s="6" t="str">
        <f>TEXT(Table1[[#This Row],[DATE]],"MMMM")</f>
        <v>November</v>
      </c>
      <c r="B458" s="10">
        <v>44884</v>
      </c>
      <c r="C458" s="1" t="s">
        <v>747</v>
      </c>
      <c r="D458" s="1" t="str">
        <f>UPPER(Table1[[#This Row],[NAME2]])</f>
        <v>PAUL FERRIS</v>
      </c>
      <c r="E458" s="1" t="s">
        <v>200</v>
      </c>
      <c r="F458" s="1" t="s">
        <v>201</v>
      </c>
      <c r="G458" s="1" t="s">
        <v>21</v>
      </c>
      <c r="H458" s="1" t="s">
        <v>202</v>
      </c>
      <c r="I458" s="1" t="s">
        <v>23</v>
      </c>
      <c r="J458" s="9">
        <v>48</v>
      </c>
      <c r="K458" s="1" t="str">
        <f>IF(Table1[[#This Row],[AGE]]&lt;=18,"CHILD",IF(Table1[[#This Row],[AGE]]&lt;=20,"TEEN",IF(Table1[[#This Row],[AGE]]&lt;=40,"ADULT",IF(Table1[[#This Row],[AGE]]&lt;=60,"SENIOR CITIZEN","OLD CITIZEN"))))</f>
        <v>SENIOR CITIZEN</v>
      </c>
      <c r="L458" s="1" t="s">
        <v>42</v>
      </c>
      <c r="M458" s="1" t="s">
        <v>61</v>
      </c>
      <c r="N458" s="13">
        <f>VLOOKUP(Table1[[#This Row],[TRANSACTION ID]],'Transaction ID Record'!$C$3:$D$510,2,FALSE)</f>
        <v>43836</v>
      </c>
    </row>
    <row r="459" spans="1:14" x14ac:dyDescent="0.35">
      <c r="A459" s="6" t="str">
        <f>TEXT(Table1[[#This Row],[DATE]],"MMMM")</f>
        <v>November</v>
      </c>
      <c r="B459" s="10">
        <v>44884</v>
      </c>
      <c r="C459" s="1" t="s">
        <v>748</v>
      </c>
      <c r="D459" s="1" t="str">
        <f>UPPER(Table1[[#This Row],[NAME2]])</f>
        <v>JELANI MCKINNEY</v>
      </c>
      <c r="E459" s="1" t="s">
        <v>241</v>
      </c>
      <c r="F459" s="1" t="s">
        <v>817</v>
      </c>
      <c r="G459" s="1" t="s">
        <v>21</v>
      </c>
      <c r="H459" s="1" t="s">
        <v>242</v>
      </c>
      <c r="I459" s="1" t="s">
        <v>30</v>
      </c>
      <c r="J459" s="9">
        <v>31</v>
      </c>
      <c r="K459" s="1" t="str">
        <f>IF(Table1[[#This Row],[AGE]]&lt;=18,"CHILD",IF(Table1[[#This Row],[AGE]]&lt;=20,"TEEN",IF(Table1[[#This Row],[AGE]]&lt;=40,"ADULT",IF(Table1[[#This Row],[AGE]]&lt;=60,"SENIOR CITIZEN","OLD CITIZEN"))))</f>
        <v>ADULT</v>
      </c>
      <c r="L459" s="1" t="s">
        <v>16</v>
      </c>
      <c r="M459" s="1" t="s">
        <v>32</v>
      </c>
      <c r="N459" s="13">
        <f>VLOOKUP(Table1[[#This Row],[TRANSACTION ID]],'Transaction ID Record'!$C$3:$D$510,2,FALSE)</f>
        <v>74810</v>
      </c>
    </row>
    <row r="460" spans="1:14" x14ac:dyDescent="0.35">
      <c r="A460" s="6" t="str">
        <f>TEXT(Table1[[#This Row],[DATE]],"MMMM")</f>
        <v>November</v>
      </c>
      <c r="B460" s="10">
        <v>44888</v>
      </c>
      <c r="C460" s="1" t="s">
        <v>749</v>
      </c>
      <c r="D460" s="1" t="str">
        <f>UPPER(Table1[[#This Row],[NAME2]])</f>
        <v>AGEMO BARNES</v>
      </c>
      <c r="E460" s="1" t="s">
        <v>111</v>
      </c>
      <c r="F460" s="1" t="s">
        <v>112</v>
      </c>
      <c r="G460" s="1" t="s">
        <v>21</v>
      </c>
      <c r="H460" s="1" t="s">
        <v>113</v>
      </c>
      <c r="I460" s="1" t="s">
        <v>23</v>
      </c>
      <c r="J460" s="9">
        <v>58</v>
      </c>
      <c r="K460" s="1" t="str">
        <f>IF(Table1[[#This Row],[AGE]]&lt;=18,"CHILD",IF(Table1[[#This Row],[AGE]]&lt;=20,"TEEN",IF(Table1[[#This Row],[AGE]]&lt;=40,"ADULT",IF(Table1[[#This Row],[AGE]]&lt;=60,"SENIOR CITIZEN","OLD CITIZEN"))))</f>
        <v>SENIOR CITIZEN</v>
      </c>
      <c r="L460" s="1" t="s">
        <v>16</v>
      </c>
      <c r="M460" s="1" t="s">
        <v>17</v>
      </c>
      <c r="N460" s="13">
        <f>VLOOKUP(Table1[[#This Row],[TRANSACTION ID]],'Transaction ID Record'!$C$3:$D$510,2,FALSE)</f>
        <v>47711</v>
      </c>
    </row>
    <row r="461" spans="1:14" x14ac:dyDescent="0.35">
      <c r="A461" s="6" t="str">
        <f>TEXT(Table1[[#This Row],[DATE]],"MMMM")</f>
        <v>November</v>
      </c>
      <c r="B461" s="10">
        <v>44888</v>
      </c>
      <c r="C461" s="1" t="s">
        <v>750</v>
      </c>
      <c r="D461" s="1" t="str">
        <f>UPPER(Table1[[#This Row],[NAME2]])</f>
        <v>ODUMOSU DUKE</v>
      </c>
      <c r="E461" s="1" t="s">
        <v>59</v>
      </c>
      <c r="F461" s="1" t="s">
        <v>800</v>
      </c>
      <c r="G461" s="1" t="s">
        <v>13</v>
      </c>
      <c r="H461" s="1" t="s">
        <v>60</v>
      </c>
      <c r="I461" s="1" t="s">
        <v>15</v>
      </c>
      <c r="J461" s="9">
        <v>48</v>
      </c>
      <c r="K461" s="1" t="str">
        <f>IF(Table1[[#This Row],[AGE]]&lt;=18,"CHILD",IF(Table1[[#This Row],[AGE]]&lt;=20,"TEEN",IF(Table1[[#This Row],[AGE]]&lt;=40,"ADULT",IF(Table1[[#This Row],[AGE]]&lt;=60,"SENIOR CITIZEN","OLD CITIZEN"))))</f>
        <v>SENIOR CITIZEN</v>
      </c>
      <c r="L461" s="1" t="s">
        <v>52</v>
      </c>
      <c r="M461" s="1" t="s">
        <v>61</v>
      </c>
      <c r="N461" s="13">
        <f>VLOOKUP(Table1[[#This Row],[TRANSACTION ID]],'Transaction ID Record'!$C$3:$D$510,2,FALSE)</f>
        <v>36666</v>
      </c>
    </row>
    <row r="462" spans="1:14" x14ac:dyDescent="0.35">
      <c r="A462" s="6" t="str">
        <f>TEXT(Table1[[#This Row],[DATE]],"MMMM")</f>
        <v>November</v>
      </c>
      <c r="B462" s="10">
        <v>44889</v>
      </c>
      <c r="C462" s="1" t="s">
        <v>751</v>
      </c>
      <c r="D462" s="1" t="str">
        <f>UPPER(Table1[[#This Row],[NAME2]])</f>
        <v>DEACON COBB</v>
      </c>
      <c r="E462" s="1" t="s">
        <v>83</v>
      </c>
      <c r="F462" s="1" t="s">
        <v>803</v>
      </c>
      <c r="G462" s="1" t="s">
        <v>13</v>
      </c>
      <c r="H462" s="1" t="s">
        <v>84</v>
      </c>
      <c r="I462" s="1" t="s">
        <v>30</v>
      </c>
      <c r="J462" s="9">
        <v>30</v>
      </c>
      <c r="K462" s="1" t="str">
        <f>IF(Table1[[#This Row],[AGE]]&lt;=18,"CHILD",IF(Table1[[#This Row],[AGE]]&lt;=20,"TEEN",IF(Table1[[#This Row],[AGE]]&lt;=40,"ADULT",IF(Table1[[#This Row],[AGE]]&lt;=60,"SENIOR CITIZEN","OLD CITIZEN"))))</f>
        <v>ADULT</v>
      </c>
      <c r="L462" s="1" t="s">
        <v>42</v>
      </c>
      <c r="M462" s="1" t="s">
        <v>47</v>
      </c>
      <c r="N462" s="13">
        <f>VLOOKUP(Table1[[#This Row],[TRANSACTION ID]],'Transaction ID Record'!$C$3:$D$510,2,FALSE)</f>
        <v>167085</v>
      </c>
    </row>
    <row r="463" spans="1:14" x14ac:dyDescent="0.35">
      <c r="A463" s="6" t="str">
        <f>TEXT(Table1[[#This Row],[DATE]],"MMMM")</f>
        <v>November</v>
      </c>
      <c r="B463" s="10">
        <v>44889</v>
      </c>
      <c r="C463" s="1" t="s">
        <v>752</v>
      </c>
      <c r="D463" s="1" t="str">
        <f>UPPER(Table1[[#This Row],[NAME2]])</f>
        <v>SAWYER HERRIOT</v>
      </c>
      <c r="E463" s="1" t="s">
        <v>567</v>
      </c>
      <c r="F463" s="1" t="s">
        <v>568</v>
      </c>
      <c r="G463" s="1" t="s">
        <v>13</v>
      </c>
      <c r="H463" s="1" t="s">
        <v>569</v>
      </c>
      <c r="I463" s="1" t="s">
        <v>15</v>
      </c>
      <c r="J463" s="9">
        <v>34</v>
      </c>
      <c r="K463" s="1" t="str">
        <f>IF(Table1[[#This Row],[AGE]]&lt;=18,"CHILD",IF(Table1[[#This Row],[AGE]]&lt;=20,"TEEN",IF(Table1[[#This Row],[AGE]]&lt;=40,"ADULT",IF(Table1[[#This Row],[AGE]]&lt;=60,"SENIOR CITIZEN","OLD CITIZEN"))))</f>
        <v>ADULT</v>
      </c>
      <c r="L463" s="1" t="s">
        <v>66</v>
      </c>
      <c r="M463" s="1" t="s">
        <v>25</v>
      </c>
      <c r="N463" s="13">
        <f>VLOOKUP(Table1[[#This Row],[TRANSACTION ID]],'Transaction ID Record'!$C$3:$D$510,2,FALSE)</f>
        <v>6287</v>
      </c>
    </row>
    <row r="464" spans="1:14" x14ac:dyDescent="0.35">
      <c r="A464" s="6" t="str">
        <f>TEXT(Table1[[#This Row],[DATE]],"MMMM")</f>
        <v>November</v>
      </c>
      <c r="B464" s="10">
        <v>44890</v>
      </c>
      <c r="C464" s="1" t="s">
        <v>753</v>
      </c>
      <c r="D464" s="1" t="str">
        <f>UPPER(Table1[[#This Row],[NAME2]])</f>
        <v>AYO VANG</v>
      </c>
      <c r="E464" s="1" t="s">
        <v>272</v>
      </c>
      <c r="F464" s="1" t="s">
        <v>820</v>
      </c>
      <c r="G464" s="1" t="s">
        <v>13</v>
      </c>
      <c r="H464" s="1" t="s">
        <v>273</v>
      </c>
      <c r="I464" s="1" t="s">
        <v>15</v>
      </c>
      <c r="J464" s="9">
        <v>44</v>
      </c>
      <c r="K464" s="1" t="str">
        <f>IF(Table1[[#This Row],[AGE]]&lt;=18,"CHILD",IF(Table1[[#This Row],[AGE]]&lt;=20,"TEEN",IF(Table1[[#This Row],[AGE]]&lt;=40,"ADULT",IF(Table1[[#This Row],[AGE]]&lt;=60,"SENIOR CITIZEN","OLD CITIZEN"))))</f>
        <v>SENIOR CITIZEN</v>
      </c>
      <c r="L464" s="1" t="s">
        <v>57</v>
      </c>
      <c r="M464" s="1" t="s">
        <v>61</v>
      </c>
      <c r="N464" s="13">
        <f>VLOOKUP(Table1[[#This Row],[TRANSACTION ID]],'Transaction ID Record'!$C$3:$D$510,2,FALSE)</f>
        <v>113305</v>
      </c>
    </row>
    <row r="465" spans="1:14" x14ac:dyDescent="0.35">
      <c r="A465" s="6" t="str">
        <f>TEXT(Table1[[#This Row],[DATE]],"MMMM")</f>
        <v>November</v>
      </c>
      <c r="B465" s="10">
        <v>44890</v>
      </c>
      <c r="C465" s="1" t="s">
        <v>754</v>
      </c>
      <c r="D465" s="1" t="str">
        <f>UPPER(Table1[[#This Row],[NAME2]])</f>
        <v>JELANI MCKINNEY</v>
      </c>
      <c r="E465" s="1" t="s">
        <v>241</v>
      </c>
      <c r="F465" s="1" t="s">
        <v>817</v>
      </c>
      <c r="G465" s="1" t="s">
        <v>21</v>
      </c>
      <c r="H465" s="1" t="s">
        <v>242</v>
      </c>
      <c r="I465" s="1" t="s">
        <v>30</v>
      </c>
      <c r="J465" s="9">
        <v>31</v>
      </c>
      <c r="K465" s="1" t="str">
        <f>IF(Table1[[#This Row],[AGE]]&lt;=18,"CHILD",IF(Table1[[#This Row],[AGE]]&lt;=20,"TEEN",IF(Table1[[#This Row],[AGE]]&lt;=40,"ADULT",IF(Table1[[#This Row],[AGE]]&lt;=60,"SENIOR CITIZEN","OLD CITIZEN"))))</f>
        <v>ADULT</v>
      </c>
      <c r="L465" s="1" t="s">
        <v>16</v>
      </c>
      <c r="M465" s="1" t="s">
        <v>17</v>
      </c>
      <c r="N465" s="13">
        <f>VLOOKUP(Table1[[#This Row],[TRANSACTION ID]],'Transaction ID Record'!$C$3:$D$510,2,FALSE)</f>
        <v>109351</v>
      </c>
    </row>
    <row r="466" spans="1:14" x14ac:dyDescent="0.35">
      <c r="A466" s="6" t="str">
        <f>TEXT(Table1[[#This Row],[DATE]],"MMMM")</f>
        <v>November</v>
      </c>
      <c r="B466" s="10">
        <v>44893</v>
      </c>
      <c r="C466" s="1" t="s">
        <v>755</v>
      </c>
      <c r="D466" s="1" t="str">
        <f>UPPER(Table1[[#This Row],[NAME2]])</f>
        <v>ADEBOLA SOLIS</v>
      </c>
      <c r="E466" s="1" t="s">
        <v>244</v>
      </c>
      <c r="F466" s="1" t="s">
        <v>245</v>
      </c>
      <c r="G466" s="1" t="s">
        <v>21</v>
      </c>
      <c r="H466" s="1" t="s">
        <v>246</v>
      </c>
      <c r="I466" s="1" t="s">
        <v>15</v>
      </c>
      <c r="J466" s="9">
        <v>29</v>
      </c>
      <c r="K466" s="1" t="str">
        <f>IF(Table1[[#This Row],[AGE]]&lt;=18,"CHILD",IF(Table1[[#This Row],[AGE]]&lt;=20,"TEEN",IF(Table1[[#This Row],[AGE]]&lt;=40,"ADULT",IF(Table1[[#This Row],[AGE]]&lt;=60,"SENIOR CITIZEN","OLD CITIZEN"))))</f>
        <v>ADULT</v>
      </c>
      <c r="L466" s="1" t="s">
        <v>16</v>
      </c>
      <c r="M466" s="1" t="s">
        <v>47</v>
      </c>
      <c r="N466" s="13">
        <f>VLOOKUP(Table1[[#This Row],[TRANSACTION ID]],'Transaction ID Record'!$C$3:$D$510,2,FALSE)</f>
        <v>84576</v>
      </c>
    </row>
    <row r="467" spans="1:14" x14ac:dyDescent="0.35">
      <c r="A467" s="6" t="str">
        <f>TEXT(Table1[[#This Row],[DATE]],"MMMM")</f>
        <v>November</v>
      </c>
      <c r="B467" s="10">
        <v>44895</v>
      </c>
      <c r="C467" s="1" t="s">
        <v>756</v>
      </c>
      <c r="D467" s="1" t="str">
        <f>UPPER(Table1[[#This Row],[NAME2]])</f>
        <v>FASINU ADAMS</v>
      </c>
      <c r="E467" s="1" t="s">
        <v>349</v>
      </c>
      <c r="F467" s="1" t="s">
        <v>350</v>
      </c>
      <c r="G467" s="1" t="s">
        <v>13</v>
      </c>
      <c r="H467" s="1" t="s">
        <v>351</v>
      </c>
      <c r="I467" s="1" t="s">
        <v>15</v>
      </c>
      <c r="J467" s="9">
        <v>50</v>
      </c>
      <c r="K467" s="1" t="str">
        <f>IF(Table1[[#This Row],[AGE]]&lt;=18,"CHILD",IF(Table1[[#This Row],[AGE]]&lt;=20,"TEEN",IF(Table1[[#This Row],[AGE]]&lt;=40,"ADULT",IF(Table1[[#This Row],[AGE]]&lt;=60,"SENIOR CITIZEN","OLD CITIZEN"))))</f>
        <v>SENIOR CITIZEN</v>
      </c>
      <c r="L467" s="1" t="s">
        <v>66</v>
      </c>
      <c r="M467" s="1" t="s">
        <v>47</v>
      </c>
      <c r="N467" s="13">
        <f>VLOOKUP(Table1[[#This Row],[TRANSACTION ID]],'Transaction ID Record'!$C$3:$D$510,2,FALSE)</f>
        <v>136543</v>
      </c>
    </row>
    <row r="468" spans="1:14" x14ac:dyDescent="0.35">
      <c r="A468" s="6" t="str">
        <f>TEXT(Table1[[#This Row],[DATE]],"MMMM")</f>
        <v>December</v>
      </c>
      <c r="B468" s="10">
        <v>44896</v>
      </c>
      <c r="C468" s="1" t="s">
        <v>757</v>
      </c>
      <c r="D468" s="1" t="str">
        <f>UPPER(Table1[[#This Row],[NAME2]])</f>
        <v>FASINU GUZZO</v>
      </c>
      <c r="E468" s="1" t="s">
        <v>49</v>
      </c>
      <c r="F468" s="1" t="s">
        <v>50</v>
      </c>
      <c r="G468" s="1" t="s">
        <v>13</v>
      </c>
      <c r="H468" s="1" t="s">
        <v>51</v>
      </c>
      <c r="I468" s="1" t="s">
        <v>15</v>
      </c>
      <c r="J468" s="9">
        <v>61</v>
      </c>
      <c r="K468" s="1" t="str">
        <f>IF(Table1[[#This Row],[AGE]]&lt;=18,"CHILD",IF(Table1[[#This Row],[AGE]]&lt;=20,"TEEN",IF(Table1[[#This Row],[AGE]]&lt;=40,"ADULT",IF(Table1[[#This Row],[AGE]]&lt;=60,"SENIOR CITIZEN","OLD CITIZEN"))))</f>
        <v>OLD CITIZEN</v>
      </c>
      <c r="L468" s="1" t="s">
        <v>167</v>
      </c>
      <c r="M468" s="1" t="s">
        <v>17</v>
      </c>
      <c r="N468" s="13">
        <f>VLOOKUP(Table1[[#This Row],[TRANSACTION ID]],'Transaction ID Record'!$C$3:$D$510,2,FALSE)</f>
        <v>49248</v>
      </c>
    </row>
    <row r="469" spans="1:14" x14ac:dyDescent="0.35">
      <c r="A469" s="6" t="str">
        <f>TEXT(Table1[[#This Row],[DATE]],"MMMM")</f>
        <v>December</v>
      </c>
      <c r="B469" s="10">
        <v>44897</v>
      </c>
      <c r="C469" s="1" t="s">
        <v>758</v>
      </c>
      <c r="D469" s="1" t="str">
        <f>UPPER(Table1[[#This Row],[NAME2]])</f>
        <v>EBUKA MERCER</v>
      </c>
      <c r="E469" s="1" t="s">
        <v>482</v>
      </c>
      <c r="F469" s="1" t="s">
        <v>483</v>
      </c>
      <c r="G469" s="1" t="s">
        <v>21</v>
      </c>
      <c r="H469" s="1" t="s">
        <v>484</v>
      </c>
      <c r="I469" s="1" t="s">
        <v>15</v>
      </c>
      <c r="J469" s="9">
        <v>24</v>
      </c>
      <c r="K469" s="1" t="str">
        <f>IF(Table1[[#This Row],[AGE]]&lt;=18,"CHILD",IF(Table1[[#This Row],[AGE]]&lt;=20,"TEEN",IF(Table1[[#This Row],[AGE]]&lt;=40,"ADULT",IF(Table1[[#This Row],[AGE]]&lt;=60,"SENIOR CITIZEN","OLD CITIZEN"))))</f>
        <v>ADULT</v>
      </c>
      <c r="L469" s="1" t="s">
        <v>16</v>
      </c>
      <c r="M469" s="1" t="s">
        <v>17</v>
      </c>
      <c r="N469" s="13">
        <f>VLOOKUP(Table1[[#This Row],[TRANSACTION ID]],'Transaction ID Record'!$C$3:$D$510,2,FALSE)</f>
        <v>111801</v>
      </c>
    </row>
    <row r="470" spans="1:14" x14ac:dyDescent="0.35">
      <c r="A470" s="6" t="str">
        <f>TEXT(Table1[[#This Row],[DATE]],"MMMM")</f>
        <v>December</v>
      </c>
      <c r="B470" s="10">
        <v>44897</v>
      </c>
      <c r="C470" s="1" t="s">
        <v>759</v>
      </c>
      <c r="D470" s="1" t="str">
        <f>UPPER(Table1[[#This Row],[NAME2]])</f>
        <v>AMERY JACOB</v>
      </c>
      <c r="E470" s="1" t="s">
        <v>306</v>
      </c>
      <c r="F470" s="1" t="s">
        <v>307</v>
      </c>
      <c r="G470" s="1" t="s">
        <v>13</v>
      </c>
      <c r="H470" s="1" t="s">
        <v>308</v>
      </c>
      <c r="I470" s="1" t="s">
        <v>30</v>
      </c>
      <c r="J470" s="9">
        <v>21</v>
      </c>
      <c r="K470" s="1" t="str">
        <f>IF(Table1[[#This Row],[AGE]]&lt;=18,"CHILD",IF(Table1[[#This Row],[AGE]]&lt;=20,"TEEN",IF(Table1[[#This Row],[AGE]]&lt;=40,"ADULT",IF(Table1[[#This Row],[AGE]]&lt;=60,"SENIOR CITIZEN","OLD CITIZEN"))))</f>
        <v>ADULT</v>
      </c>
      <c r="L470" s="1" t="s">
        <v>66</v>
      </c>
      <c r="M470" s="1" t="s">
        <v>47</v>
      </c>
      <c r="N470" s="13">
        <f>VLOOKUP(Table1[[#This Row],[TRANSACTION ID]],'Transaction ID Record'!$C$3:$D$510,2,FALSE)</f>
        <v>130234</v>
      </c>
    </row>
    <row r="471" spans="1:14" x14ac:dyDescent="0.35">
      <c r="A471" s="6" t="str">
        <f>TEXT(Table1[[#This Row],[DATE]],"MMMM")</f>
        <v>December</v>
      </c>
      <c r="B471" s="10">
        <v>44899</v>
      </c>
      <c r="C471" s="1" t="s">
        <v>760</v>
      </c>
      <c r="D471" s="1" t="str">
        <f>UPPER(Table1[[#This Row],[NAME2]])</f>
        <v>LEONARD GILBERT</v>
      </c>
      <c r="E471" s="1" t="s">
        <v>192</v>
      </c>
      <c r="F471" s="1" t="s">
        <v>813</v>
      </c>
      <c r="G471" s="1" t="s">
        <v>13</v>
      </c>
      <c r="H471" s="1" t="s">
        <v>193</v>
      </c>
      <c r="I471" s="1" t="s">
        <v>15</v>
      </c>
      <c r="J471" s="9">
        <v>40</v>
      </c>
      <c r="K471" s="1" t="str">
        <f>IF(Table1[[#This Row],[AGE]]&lt;=18,"CHILD",IF(Table1[[#This Row],[AGE]]&lt;=20,"TEEN",IF(Table1[[#This Row],[AGE]]&lt;=40,"ADULT",IF(Table1[[#This Row],[AGE]]&lt;=60,"SENIOR CITIZEN","OLD CITIZEN"))))</f>
        <v>ADULT</v>
      </c>
      <c r="L471" s="1" t="s">
        <v>37</v>
      </c>
      <c r="M471" s="1" t="s">
        <v>25</v>
      </c>
      <c r="N471" s="13">
        <f>VLOOKUP(Table1[[#This Row],[TRANSACTION ID]],'Transaction ID Record'!$C$3:$D$510,2,FALSE)</f>
        <v>188994</v>
      </c>
    </row>
    <row r="472" spans="1:14" x14ac:dyDescent="0.35">
      <c r="A472" s="6" t="str">
        <f>TEXT(Table1[[#This Row],[DATE]],"MMMM")</f>
        <v>December</v>
      </c>
      <c r="B472" s="10">
        <v>44899</v>
      </c>
      <c r="C472" s="1" t="s">
        <v>761</v>
      </c>
      <c r="D472" s="1" t="str">
        <f>UPPER(Table1[[#This Row],[NAME2]])</f>
        <v>ADENIYI TILLMAN</v>
      </c>
      <c r="E472" s="1" t="s">
        <v>178</v>
      </c>
      <c r="F472" s="1" t="s">
        <v>179</v>
      </c>
      <c r="G472" s="1" t="s">
        <v>13</v>
      </c>
      <c r="H472" s="1" t="s">
        <v>180</v>
      </c>
      <c r="I472" s="1" t="s">
        <v>30</v>
      </c>
      <c r="J472" s="9">
        <v>63</v>
      </c>
      <c r="K472" s="1" t="str">
        <f>IF(Table1[[#This Row],[AGE]]&lt;=18,"CHILD",IF(Table1[[#This Row],[AGE]]&lt;=20,"TEEN",IF(Table1[[#This Row],[AGE]]&lt;=40,"ADULT",IF(Table1[[#This Row],[AGE]]&lt;=60,"SENIOR CITIZEN","OLD CITIZEN"))))</f>
        <v>OLD CITIZEN</v>
      </c>
      <c r="L472" s="1" t="s">
        <v>52</v>
      </c>
      <c r="M472" s="1" t="s">
        <v>61</v>
      </c>
      <c r="N472" s="13">
        <f>VLOOKUP(Table1[[#This Row],[TRANSACTION ID]],'Transaction ID Record'!$C$3:$D$510,2,FALSE)</f>
        <v>68008</v>
      </c>
    </row>
    <row r="473" spans="1:14" x14ac:dyDescent="0.35">
      <c r="A473" s="6" t="str">
        <f>TEXT(Table1[[#This Row],[DATE]],"MMMM")</f>
        <v>December</v>
      </c>
      <c r="B473" s="10">
        <v>44900</v>
      </c>
      <c r="C473" s="1" t="s">
        <v>762</v>
      </c>
      <c r="D473" s="1" t="str">
        <f>UPPER(Table1[[#This Row],[NAME2]])</f>
        <v>INGRID BURRIS</v>
      </c>
      <c r="E473" s="1" t="s">
        <v>324</v>
      </c>
      <c r="F473" s="1" t="s">
        <v>824</v>
      </c>
      <c r="G473" s="1" t="s">
        <v>21</v>
      </c>
      <c r="H473" s="1" t="s">
        <v>325</v>
      </c>
      <c r="I473" s="1" t="s">
        <v>30</v>
      </c>
      <c r="J473" s="9">
        <v>50</v>
      </c>
      <c r="K473" s="1" t="str">
        <f>IF(Table1[[#This Row],[AGE]]&lt;=18,"CHILD",IF(Table1[[#This Row],[AGE]]&lt;=20,"TEEN",IF(Table1[[#This Row],[AGE]]&lt;=40,"ADULT",IF(Table1[[#This Row],[AGE]]&lt;=60,"SENIOR CITIZEN","OLD CITIZEN"))))</f>
        <v>SENIOR CITIZEN</v>
      </c>
      <c r="L473" s="1" t="s">
        <v>66</v>
      </c>
      <c r="M473" s="1" t="s">
        <v>61</v>
      </c>
      <c r="N473" s="13">
        <f>VLOOKUP(Table1[[#This Row],[TRANSACTION ID]],'Transaction ID Record'!$C$3:$D$510,2,FALSE)</f>
        <v>56139</v>
      </c>
    </row>
    <row r="474" spans="1:14" x14ac:dyDescent="0.35">
      <c r="A474" s="6" t="str">
        <f>TEXT(Table1[[#This Row],[DATE]],"MMMM")</f>
        <v>December</v>
      </c>
      <c r="B474" s="10">
        <v>44902</v>
      </c>
      <c r="C474" s="1" t="s">
        <v>763</v>
      </c>
      <c r="D474" s="1" t="str">
        <f>UPPER(Table1[[#This Row],[NAME2]])</f>
        <v>NOEL MACK</v>
      </c>
      <c r="E474" s="1" t="s">
        <v>275</v>
      </c>
      <c r="F474" s="1" t="s">
        <v>276</v>
      </c>
      <c r="G474" s="1" t="s">
        <v>13</v>
      </c>
      <c r="H474" s="1" t="s">
        <v>277</v>
      </c>
      <c r="I474" s="1" t="s">
        <v>30</v>
      </c>
      <c r="J474" s="9">
        <v>64</v>
      </c>
      <c r="K474" s="1" t="str">
        <f>IF(Table1[[#This Row],[AGE]]&lt;=18,"CHILD",IF(Table1[[#This Row],[AGE]]&lt;=20,"TEEN",IF(Table1[[#This Row],[AGE]]&lt;=40,"ADULT",IF(Table1[[#This Row],[AGE]]&lt;=60,"SENIOR CITIZEN","OLD CITIZEN"))))</f>
        <v>OLD CITIZEN</v>
      </c>
      <c r="L474" s="1" t="s">
        <v>16</v>
      </c>
      <c r="M474" s="1" t="s">
        <v>25</v>
      </c>
      <c r="N474" s="13">
        <f>VLOOKUP(Table1[[#This Row],[TRANSACTION ID]],'Transaction ID Record'!$C$3:$D$510,2,FALSE)</f>
        <v>133114</v>
      </c>
    </row>
    <row r="475" spans="1:14" x14ac:dyDescent="0.35">
      <c r="A475" s="6" t="str">
        <f>TEXT(Table1[[#This Row],[DATE]],"MMMM")</f>
        <v>December</v>
      </c>
      <c r="B475" s="10">
        <v>44902</v>
      </c>
      <c r="C475" s="1" t="s">
        <v>764</v>
      </c>
      <c r="D475" s="1" t="str">
        <f>UPPER(Table1[[#This Row],[NAME2]])</f>
        <v>ROBERT JONES</v>
      </c>
      <c r="E475" s="1" t="s">
        <v>472</v>
      </c>
      <c r="F475" s="1" t="s">
        <v>473</v>
      </c>
      <c r="G475" s="1" t="s">
        <v>21</v>
      </c>
      <c r="H475" s="1" t="s">
        <v>474</v>
      </c>
      <c r="I475" s="1" t="s">
        <v>15</v>
      </c>
      <c r="J475" s="9">
        <v>51</v>
      </c>
      <c r="K475" s="1" t="str">
        <f>IF(Table1[[#This Row],[AGE]]&lt;=18,"CHILD",IF(Table1[[#This Row],[AGE]]&lt;=20,"TEEN",IF(Table1[[#This Row],[AGE]]&lt;=40,"ADULT",IF(Table1[[#This Row],[AGE]]&lt;=60,"SENIOR CITIZEN","OLD CITIZEN"))))</f>
        <v>SENIOR CITIZEN</v>
      </c>
      <c r="L475" s="1" t="s">
        <v>66</v>
      </c>
      <c r="M475" s="1" t="s">
        <v>25</v>
      </c>
      <c r="N475" s="13">
        <f>VLOOKUP(Table1[[#This Row],[TRANSACTION ID]],'Transaction ID Record'!$C$3:$D$510,2,FALSE)</f>
        <v>49059</v>
      </c>
    </row>
    <row r="476" spans="1:14" x14ac:dyDescent="0.35">
      <c r="A476" s="6" t="str">
        <f>TEXT(Table1[[#This Row],[DATE]],"MMMM")</f>
        <v>December</v>
      </c>
      <c r="B476" s="10">
        <v>44902</v>
      </c>
      <c r="C476" s="1" t="s">
        <v>765</v>
      </c>
      <c r="D476" s="1" t="str">
        <f>UPPER(Table1[[#This Row],[NAME2]])</f>
        <v>URIEL ADAMS</v>
      </c>
      <c r="E476" s="1" t="s">
        <v>39</v>
      </c>
      <c r="F476" s="1" t="s">
        <v>40</v>
      </c>
      <c r="G476" s="1" t="s">
        <v>21</v>
      </c>
      <c r="H476" s="1" t="s">
        <v>41</v>
      </c>
      <c r="I476" s="1" t="s">
        <v>15</v>
      </c>
      <c r="J476" s="9">
        <v>48</v>
      </c>
      <c r="K476" s="1" t="str">
        <f>IF(Table1[[#This Row],[AGE]]&lt;=18,"CHILD",IF(Table1[[#This Row],[AGE]]&lt;=20,"TEEN",IF(Table1[[#This Row],[AGE]]&lt;=40,"ADULT",IF(Table1[[#This Row],[AGE]]&lt;=60,"SENIOR CITIZEN","OLD CITIZEN"))))</f>
        <v>SENIOR CITIZEN</v>
      </c>
      <c r="L476" s="1" t="s">
        <v>42</v>
      </c>
      <c r="M476" s="1" t="s">
        <v>61</v>
      </c>
      <c r="N476" s="13">
        <f>VLOOKUP(Table1[[#This Row],[TRANSACTION ID]],'Transaction ID Record'!$C$3:$D$510,2,FALSE)</f>
        <v>54170</v>
      </c>
    </row>
    <row r="477" spans="1:14" x14ac:dyDescent="0.35">
      <c r="A477" s="6" t="str">
        <f>TEXT(Table1[[#This Row],[DATE]],"MMMM")</f>
        <v>December</v>
      </c>
      <c r="B477" s="10">
        <v>44902</v>
      </c>
      <c r="C477" s="1" t="s">
        <v>766</v>
      </c>
      <c r="D477" s="1" t="str">
        <f>UPPER(Table1[[#This Row],[NAME2]])</f>
        <v>JELANI MCKINNEY</v>
      </c>
      <c r="E477" s="1" t="s">
        <v>241</v>
      </c>
      <c r="F477" s="1" t="s">
        <v>817</v>
      </c>
      <c r="G477" s="1" t="s">
        <v>21</v>
      </c>
      <c r="H477" s="1" t="s">
        <v>242</v>
      </c>
      <c r="I477" s="1" t="s">
        <v>30</v>
      </c>
      <c r="J477" s="9">
        <v>31</v>
      </c>
      <c r="K477" s="1" t="str">
        <f>IF(Table1[[#This Row],[AGE]]&lt;=18,"CHILD",IF(Table1[[#This Row],[AGE]]&lt;=20,"TEEN",IF(Table1[[#This Row],[AGE]]&lt;=40,"ADULT",IF(Table1[[#This Row],[AGE]]&lt;=60,"SENIOR CITIZEN","OLD CITIZEN"))))</f>
        <v>ADULT</v>
      </c>
      <c r="L477" s="1" t="s">
        <v>52</v>
      </c>
      <c r="M477" s="1" t="s">
        <v>61</v>
      </c>
      <c r="N477" s="13">
        <f>VLOOKUP(Table1[[#This Row],[TRANSACTION ID]],'Transaction ID Record'!$C$3:$D$510,2,FALSE)</f>
        <v>21354</v>
      </c>
    </row>
    <row r="478" spans="1:14" x14ac:dyDescent="0.35">
      <c r="A478" s="6" t="str">
        <f>TEXT(Table1[[#This Row],[DATE]],"MMMM")</f>
        <v>December</v>
      </c>
      <c r="B478" s="10">
        <v>44902</v>
      </c>
      <c r="C478" s="1" t="s">
        <v>767</v>
      </c>
      <c r="D478" s="1" t="str">
        <f>UPPER(Table1[[#This Row],[NAME2]])</f>
        <v>LESLY PORTER</v>
      </c>
      <c r="E478" s="1" t="s">
        <v>223</v>
      </c>
      <c r="F478" s="1" t="s">
        <v>224</v>
      </c>
      <c r="G478" s="1" t="s">
        <v>21</v>
      </c>
      <c r="H478" s="1" t="s">
        <v>225</v>
      </c>
      <c r="I478" s="1" t="s">
        <v>30</v>
      </c>
      <c r="J478" s="9">
        <v>68</v>
      </c>
      <c r="K478" s="1" t="str">
        <f>IF(Table1[[#This Row],[AGE]]&lt;=18,"CHILD",IF(Table1[[#This Row],[AGE]]&lt;=20,"TEEN",IF(Table1[[#This Row],[AGE]]&lt;=40,"ADULT",IF(Table1[[#This Row],[AGE]]&lt;=60,"SENIOR CITIZEN","OLD CITIZEN"))))</f>
        <v>OLD CITIZEN</v>
      </c>
      <c r="L478" s="1" t="s">
        <v>42</v>
      </c>
      <c r="M478" s="1" t="s">
        <v>25</v>
      </c>
      <c r="N478" s="13">
        <f>VLOOKUP(Table1[[#This Row],[TRANSACTION ID]],'Transaction ID Record'!$C$3:$D$510,2,FALSE)</f>
        <v>160844</v>
      </c>
    </row>
    <row r="479" spans="1:14" x14ac:dyDescent="0.35">
      <c r="A479" s="6" t="str">
        <f>TEXT(Table1[[#This Row],[DATE]],"MMMM")</f>
        <v>December</v>
      </c>
      <c r="B479" s="10">
        <v>44902</v>
      </c>
      <c r="C479" s="1" t="s">
        <v>768</v>
      </c>
      <c r="D479" s="1" t="str">
        <f>UPPER(Table1[[#This Row],[NAME2]])</f>
        <v>URSULA MADDOX</v>
      </c>
      <c r="E479" s="1" t="s">
        <v>11</v>
      </c>
      <c r="F479" s="1" t="s">
        <v>12</v>
      </c>
      <c r="G479" s="1" t="s">
        <v>13</v>
      </c>
      <c r="H479" s="1" t="s">
        <v>14</v>
      </c>
      <c r="I479" s="1" t="s">
        <v>15</v>
      </c>
      <c r="J479" s="9">
        <v>41</v>
      </c>
      <c r="K479" s="1" t="str">
        <f>IF(Table1[[#This Row],[AGE]]&lt;=18,"CHILD",IF(Table1[[#This Row],[AGE]]&lt;=20,"TEEN",IF(Table1[[#This Row],[AGE]]&lt;=40,"ADULT",IF(Table1[[#This Row],[AGE]]&lt;=60,"SENIOR CITIZEN","OLD CITIZEN"))))</f>
        <v>SENIOR CITIZEN</v>
      </c>
      <c r="L479" s="1" t="s">
        <v>37</v>
      </c>
      <c r="M479" s="1" t="s">
        <v>47</v>
      </c>
      <c r="N479" s="13">
        <f>VLOOKUP(Table1[[#This Row],[TRANSACTION ID]],'Transaction ID Record'!$C$3:$D$510,2,FALSE)</f>
        <v>187565</v>
      </c>
    </row>
    <row r="480" spans="1:14" x14ac:dyDescent="0.35">
      <c r="A480" s="6" t="str">
        <f>TEXT(Table1[[#This Row],[DATE]],"MMMM")</f>
        <v>December</v>
      </c>
      <c r="B480" s="10">
        <v>44903</v>
      </c>
      <c r="C480" s="1" t="s">
        <v>769</v>
      </c>
      <c r="D480" s="1" t="str">
        <f>UPPER(Table1[[#This Row],[NAME2]])</f>
        <v>TOYIN DOUGLAS</v>
      </c>
      <c r="E480" s="1" t="s">
        <v>528</v>
      </c>
      <c r="F480" s="1" t="s">
        <v>529</v>
      </c>
      <c r="G480" s="1" t="s">
        <v>21</v>
      </c>
      <c r="H480" s="1" t="s">
        <v>530</v>
      </c>
      <c r="I480" s="1" t="s">
        <v>15</v>
      </c>
      <c r="J480" s="9">
        <v>50</v>
      </c>
      <c r="K480" s="1" t="str">
        <f>IF(Table1[[#This Row],[AGE]]&lt;=18,"CHILD",IF(Table1[[#This Row],[AGE]]&lt;=20,"TEEN",IF(Table1[[#This Row],[AGE]]&lt;=40,"ADULT",IF(Table1[[#This Row],[AGE]]&lt;=60,"SENIOR CITIZEN","OLD CITIZEN"))))</f>
        <v>SENIOR CITIZEN</v>
      </c>
      <c r="L480" s="1" t="s">
        <v>42</v>
      </c>
      <c r="M480" s="1" t="s">
        <v>61</v>
      </c>
      <c r="N480" s="13">
        <f>VLOOKUP(Table1[[#This Row],[TRANSACTION ID]],'Transaction ID Record'!$C$3:$D$510,2,FALSE)</f>
        <v>62835</v>
      </c>
    </row>
    <row r="481" spans="1:14" x14ac:dyDescent="0.35">
      <c r="A481" s="6" t="str">
        <f>TEXT(Table1[[#This Row],[DATE]],"MMMM")</f>
        <v>December</v>
      </c>
      <c r="B481" s="10">
        <v>44903</v>
      </c>
      <c r="C481" s="1" t="s">
        <v>770</v>
      </c>
      <c r="D481" s="1" t="str">
        <f>UPPER(Table1[[#This Row],[NAME2]])</f>
        <v>OPRAH ROD</v>
      </c>
      <c r="E481" s="1" t="s">
        <v>501</v>
      </c>
      <c r="F481" s="1" t="s">
        <v>834</v>
      </c>
      <c r="G481" s="1" t="s">
        <v>21</v>
      </c>
      <c r="H481" s="1" t="s">
        <v>502</v>
      </c>
      <c r="I481" s="1" t="s">
        <v>15</v>
      </c>
      <c r="J481" s="9">
        <v>21</v>
      </c>
      <c r="K481" s="1" t="str">
        <f>IF(Table1[[#This Row],[AGE]]&lt;=18,"CHILD",IF(Table1[[#This Row],[AGE]]&lt;=20,"TEEN",IF(Table1[[#This Row],[AGE]]&lt;=40,"ADULT",IF(Table1[[#This Row],[AGE]]&lt;=60,"SENIOR CITIZEN","OLD CITIZEN"))))</f>
        <v>ADULT</v>
      </c>
      <c r="L481" s="1" t="s">
        <v>16</v>
      </c>
      <c r="M481" s="1" t="s">
        <v>47</v>
      </c>
      <c r="N481" s="13">
        <f>VLOOKUP(Table1[[#This Row],[TRANSACTION ID]],'Transaction ID Record'!$C$3:$D$510,2,FALSE)</f>
        <v>123724</v>
      </c>
    </row>
    <row r="482" spans="1:14" x14ac:dyDescent="0.35">
      <c r="A482" s="6" t="str">
        <f>TEXT(Table1[[#This Row],[DATE]],"MMMM")</f>
        <v>December</v>
      </c>
      <c r="B482" s="10">
        <v>44903</v>
      </c>
      <c r="C482" s="1" t="s">
        <v>771</v>
      </c>
      <c r="D482" s="1" t="str">
        <f>UPPER(Table1[[#This Row],[NAME2]])</f>
        <v>CELESTE MILLER</v>
      </c>
      <c r="E482" s="1" t="s">
        <v>129</v>
      </c>
      <c r="F482" s="1" t="s">
        <v>130</v>
      </c>
      <c r="G482" s="1" t="s">
        <v>21</v>
      </c>
      <c r="H482" s="1" t="s">
        <v>131</v>
      </c>
      <c r="I482" s="1" t="s">
        <v>23</v>
      </c>
      <c r="J482" s="9">
        <v>66</v>
      </c>
      <c r="K482" s="1" t="str">
        <f>IF(Table1[[#This Row],[AGE]]&lt;=18,"CHILD",IF(Table1[[#This Row],[AGE]]&lt;=20,"TEEN",IF(Table1[[#This Row],[AGE]]&lt;=40,"ADULT",IF(Table1[[#This Row],[AGE]]&lt;=60,"SENIOR CITIZEN","OLD CITIZEN"))))</f>
        <v>OLD CITIZEN</v>
      </c>
      <c r="L482" s="1" t="s">
        <v>52</v>
      </c>
      <c r="M482" s="1" t="s">
        <v>61</v>
      </c>
      <c r="N482" s="13">
        <f>VLOOKUP(Table1[[#This Row],[TRANSACTION ID]],'Transaction ID Record'!$C$3:$D$510,2,FALSE)</f>
        <v>143595</v>
      </c>
    </row>
    <row r="483" spans="1:14" x14ac:dyDescent="0.35">
      <c r="A483" s="6" t="str">
        <f>TEXT(Table1[[#This Row],[DATE]],"MMMM")</f>
        <v>December</v>
      </c>
      <c r="B483" s="10">
        <v>44903</v>
      </c>
      <c r="C483" s="1" t="s">
        <v>772</v>
      </c>
      <c r="D483" s="1" t="str">
        <f>UPPER(Table1[[#This Row],[NAME2]])</f>
        <v>FORREST FELIX</v>
      </c>
      <c r="E483" s="1" t="s">
        <v>289</v>
      </c>
      <c r="F483" s="1" t="s">
        <v>821</v>
      </c>
      <c r="G483" s="1" t="s">
        <v>21</v>
      </c>
      <c r="H483" s="1" t="s">
        <v>290</v>
      </c>
      <c r="I483" s="1" t="s">
        <v>15</v>
      </c>
      <c r="J483" s="9">
        <v>65</v>
      </c>
      <c r="K483" s="1" t="str">
        <f>IF(Table1[[#This Row],[AGE]]&lt;=18,"CHILD",IF(Table1[[#This Row],[AGE]]&lt;=20,"TEEN",IF(Table1[[#This Row],[AGE]]&lt;=40,"ADULT",IF(Table1[[#This Row],[AGE]]&lt;=60,"SENIOR CITIZEN","OLD CITIZEN"))))</f>
        <v>OLD CITIZEN</v>
      </c>
      <c r="L483" s="1" t="s">
        <v>24</v>
      </c>
      <c r="M483" s="1" t="s">
        <v>47</v>
      </c>
      <c r="N483" s="13">
        <f>VLOOKUP(Table1[[#This Row],[TRANSACTION ID]],'Transaction ID Record'!$C$3:$D$510,2,FALSE)</f>
        <v>30953</v>
      </c>
    </row>
    <row r="484" spans="1:14" x14ac:dyDescent="0.35">
      <c r="A484" s="6" t="str">
        <f>TEXT(Table1[[#This Row],[DATE]],"MMMM")</f>
        <v>December</v>
      </c>
      <c r="B484" s="10">
        <v>44904</v>
      </c>
      <c r="C484" s="1" t="s">
        <v>773</v>
      </c>
      <c r="D484" s="1" t="str">
        <f>UPPER(Table1[[#This Row],[NAME2]])</f>
        <v>PETER DIXON</v>
      </c>
      <c r="E484" s="1" t="s">
        <v>141</v>
      </c>
      <c r="F484" s="1" t="s">
        <v>142</v>
      </c>
      <c r="G484" s="1" t="s">
        <v>21</v>
      </c>
      <c r="H484" s="1" t="s">
        <v>143</v>
      </c>
      <c r="I484" s="1" t="s">
        <v>15</v>
      </c>
      <c r="J484" s="9">
        <v>34</v>
      </c>
      <c r="K484" s="1" t="str">
        <f>IF(Table1[[#This Row],[AGE]]&lt;=18,"CHILD",IF(Table1[[#This Row],[AGE]]&lt;=20,"TEEN",IF(Table1[[#This Row],[AGE]]&lt;=40,"ADULT",IF(Table1[[#This Row],[AGE]]&lt;=60,"SENIOR CITIZEN","OLD CITIZEN"))))</f>
        <v>ADULT</v>
      </c>
      <c r="L484" s="1" t="s">
        <v>16</v>
      </c>
      <c r="M484" s="1" t="s">
        <v>17</v>
      </c>
      <c r="N484" s="13">
        <f>VLOOKUP(Table1[[#This Row],[TRANSACTION ID]],'Transaction ID Record'!$C$3:$D$510,2,FALSE)</f>
        <v>45505</v>
      </c>
    </row>
    <row r="485" spans="1:14" x14ac:dyDescent="0.35">
      <c r="A485" s="6" t="str">
        <f>TEXT(Table1[[#This Row],[DATE]],"MMMM")</f>
        <v>December</v>
      </c>
      <c r="B485" s="10">
        <v>44905</v>
      </c>
      <c r="C485" s="1" t="s">
        <v>774</v>
      </c>
      <c r="D485" s="1" t="str">
        <f>UPPER(Table1[[#This Row],[NAME2]])</f>
        <v>EMERSON PANOVSKY</v>
      </c>
      <c r="E485" s="1" t="s">
        <v>75</v>
      </c>
      <c r="F485" s="1" t="s">
        <v>76</v>
      </c>
      <c r="G485" s="1" t="s">
        <v>21</v>
      </c>
      <c r="H485" s="1" t="s">
        <v>77</v>
      </c>
      <c r="I485" s="1" t="s">
        <v>30</v>
      </c>
      <c r="J485" s="9">
        <v>19</v>
      </c>
      <c r="K485" s="1" t="str">
        <f>IF(Table1[[#This Row],[AGE]]&lt;=18,"CHILD",IF(Table1[[#This Row],[AGE]]&lt;=20,"TEEN",IF(Table1[[#This Row],[AGE]]&lt;=40,"ADULT",IF(Table1[[#This Row],[AGE]]&lt;=60,"SENIOR CITIZEN","OLD CITIZEN"))))</f>
        <v>TEEN</v>
      </c>
      <c r="L485" s="1" t="s">
        <v>66</v>
      </c>
      <c r="M485" s="1" t="s">
        <v>17</v>
      </c>
      <c r="N485" s="13">
        <f>VLOOKUP(Table1[[#This Row],[TRANSACTION ID]],'Transaction ID Record'!$C$3:$D$510,2,FALSE)</f>
        <v>15162</v>
      </c>
    </row>
    <row r="486" spans="1:14" x14ac:dyDescent="0.35">
      <c r="A486" s="6" t="str">
        <f>TEXT(Table1[[#This Row],[DATE]],"MMMM")</f>
        <v>December</v>
      </c>
      <c r="B486" s="10">
        <v>44907</v>
      </c>
      <c r="C486" s="1" t="s">
        <v>775</v>
      </c>
      <c r="D486" s="1" t="str">
        <f>UPPER(Table1[[#This Row],[NAME2]])</f>
        <v>BELL JUAREZ</v>
      </c>
      <c r="E486" s="1" t="s">
        <v>68</v>
      </c>
      <c r="F486" s="1" t="s">
        <v>801</v>
      </c>
      <c r="G486" s="1" t="s">
        <v>13</v>
      </c>
      <c r="H486" s="1" t="s">
        <v>69</v>
      </c>
      <c r="I486" s="1" t="s">
        <v>30</v>
      </c>
      <c r="J486" s="9">
        <v>71</v>
      </c>
      <c r="K486" s="1" t="str">
        <f>IF(Table1[[#This Row],[AGE]]&lt;=18,"CHILD",IF(Table1[[#This Row],[AGE]]&lt;=20,"TEEN",IF(Table1[[#This Row],[AGE]]&lt;=40,"ADULT",IF(Table1[[#This Row],[AGE]]&lt;=60,"SENIOR CITIZEN","OLD CITIZEN"))))</f>
        <v>OLD CITIZEN</v>
      </c>
      <c r="L486" s="1" t="s">
        <v>42</v>
      </c>
      <c r="M486" s="1" t="s">
        <v>25</v>
      </c>
      <c r="N486" s="13">
        <f>VLOOKUP(Table1[[#This Row],[TRANSACTION ID]],'Transaction ID Record'!$C$3:$D$510,2,FALSE)</f>
        <v>131999</v>
      </c>
    </row>
    <row r="487" spans="1:14" x14ac:dyDescent="0.35">
      <c r="A487" s="6" t="str">
        <f>TEXT(Table1[[#This Row],[DATE]],"MMMM")</f>
        <v>December</v>
      </c>
      <c r="B487" s="10">
        <v>44907</v>
      </c>
      <c r="C487" s="1" t="s">
        <v>776</v>
      </c>
      <c r="D487" s="1" t="str">
        <f>UPPER(Table1[[#This Row],[NAME2]])</f>
        <v>AKANTEYON WILLIAMS</v>
      </c>
      <c r="E487" s="1" t="s">
        <v>97</v>
      </c>
      <c r="F487" s="1" t="s">
        <v>805</v>
      </c>
      <c r="G487" s="1" t="s">
        <v>21</v>
      </c>
      <c r="H487" s="1" t="s">
        <v>98</v>
      </c>
      <c r="I487" s="1" t="s">
        <v>30</v>
      </c>
      <c r="J487" s="9">
        <v>25</v>
      </c>
      <c r="K487" s="1" t="str">
        <f>IF(Table1[[#This Row],[AGE]]&lt;=18,"CHILD",IF(Table1[[#This Row],[AGE]]&lt;=20,"TEEN",IF(Table1[[#This Row],[AGE]]&lt;=40,"ADULT",IF(Table1[[#This Row],[AGE]]&lt;=60,"SENIOR CITIZEN","OLD CITIZEN"))))</f>
        <v>ADULT</v>
      </c>
      <c r="L487" s="1" t="s">
        <v>31</v>
      </c>
      <c r="M487" s="1" t="s">
        <v>61</v>
      </c>
      <c r="N487" s="13">
        <f>VLOOKUP(Table1[[#This Row],[TRANSACTION ID]],'Transaction ID Record'!$C$3:$D$510,2,FALSE)</f>
        <v>21023</v>
      </c>
    </row>
    <row r="488" spans="1:14" x14ac:dyDescent="0.35">
      <c r="A488" s="6" t="str">
        <f>TEXT(Table1[[#This Row],[DATE]],"MMMM")</f>
        <v>December</v>
      </c>
      <c r="B488" s="10">
        <v>44907</v>
      </c>
      <c r="C488" s="1" t="s">
        <v>777</v>
      </c>
      <c r="D488" s="1" t="str">
        <f>UPPER(Table1[[#This Row],[NAME2]])</f>
        <v>ADEBOLA SOLIS</v>
      </c>
      <c r="E488" s="1" t="s">
        <v>244</v>
      </c>
      <c r="F488" s="1" t="s">
        <v>245</v>
      </c>
      <c r="G488" s="1" t="s">
        <v>21</v>
      </c>
      <c r="H488" s="1" t="s">
        <v>246</v>
      </c>
      <c r="I488" s="1" t="s">
        <v>15</v>
      </c>
      <c r="J488" s="9">
        <v>29</v>
      </c>
      <c r="K488" s="1" t="str">
        <f>IF(Table1[[#This Row],[AGE]]&lt;=18,"CHILD",IF(Table1[[#This Row],[AGE]]&lt;=20,"TEEN",IF(Table1[[#This Row],[AGE]]&lt;=40,"ADULT",IF(Table1[[#This Row],[AGE]]&lt;=60,"SENIOR CITIZEN","OLD CITIZEN"))))</f>
        <v>ADULT</v>
      </c>
      <c r="L488" s="1" t="s">
        <v>16</v>
      </c>
      <c r="M488" s="1" t="s">
        <v>32</v>
      </c>
      <c r="N488" s="13">
        <f>VLOOKUP(Table1[[#This Row],[TRANSACTION ID]],'Transaction ID Record'!$C$3:$D$510,2,FALSE)</f>
        <v>89774</v>
      </c>
    </row>
    <row r="489" spans="1:14" x14ac:dyDescent="0.35">
      <c r="A489" s="6" t="str">
        <f>TEXT(Table1[[#This Row],[DATE]],"MMMM")</f>
        <v>December</v>
      </c>
      <c r="B489" s="10">
        <v>44907</v>
      </c>
      <c r="C489" s="1" t="s">
        <v>778</v>
      </c>
      <c r="D489" s="1" t="str">
        <f>UPPER(Table1[[#This Row],[NAME2]])</f>
        <v>TOYIN MICHEAL</v>
      </c>
      <c r="E489" s="1" t="s">
        <v>218</v>
      </c>
      <c r="F489" s="1" t="s">
        <v>815</v>
      </c>
      <c r="G489" s="1" t="s">
        <v>13</v>
      </c>
      <c r="H489" s="1" t="s">
        <v>219</v>
      </c>
      <c r="I489" s="1" t="s">
        <v>15</v>
      </c>
      <c r="J489" s="9">
        <v>46</v>
      </c>
      <c r="K489" s="1" t="str">
        <f>IF(Table1[[#This Row],[AGE]]&lt;=18,"CHILD",IF(Table1[[#This Row],[AGE]]&lt;=20,"TEEN",IF(Table1[[#This Row],[AGE]]&lt;=40,"ADULT",IF(Table1[[#This Row],[AGE]]&lt;=60,"SENIOR CITIZEN","OLD CITIZEN"))))</f>
        <v>SENIOR CITIZEN</v>
      </c>
      <c r="L489" s="1" t="s">
        <v>167</v>
      </c>
      <c r="M489" s="1" t="s">
        <v>17</v>
      </c>
      <c r="N489" s="13">
        <f>VLOOKUP(Table1[[#This Row],[TRANSACTION ID]],'Transaction ID Record'!$C$3:$D$510,2,FALSE)</f>
        <v>21897</v>
      </c>
    </row>
    <row r="490" spans="1:14" x14ac:dyDescent="0.35">
      <c r="A490" s="6" t="str">
        <f>TEXT(Table1[[#This Row],[DATE]],"MMMM")</f>
        <v>December</v>
      </c>
      <c r="B490" s="10">
        <v>44909</v>
      </c>
      <c r="C490" s="1" t="s">
        <v>779</v>
      </c>
      <c r="D490" s="1" t="str">
        <f>UPPER(Table1[[#This Row],[NAME2]])</f>
        <v>ATHENA MACDONALD</v>
      </c>
      <c r="E490" s="1" t="s">
        <v>169</v>
      </c>
      <c r="F490" s="1" t="s">
        <v>170</v>
      </c>
      <c r="G490" s="1" t="s">
        <v>13</v>
      </c>
      <c r="H490" s="1" t="s">
        <v>171</v>
      </c>
      <c r="I490" s="1" t="s">
        <v>30</v>
      </c>
      <c r="J490" s="9">
        <v>29</v>
      </c>
      <c r="K490" s="1" t="str">
        <f>IF(Table1[[#This Row],[AGE]]&lt;=18,"CHILD",IF(Table1[[#This Row],[AGE]]&lt;=20,"TEEN",IF(Table1[[#This Row],[AGE]]&lt;=40,"ADULT",IF(Table1[[#This Row],[AGE]]&lt;=60,"SENIOR CITIZEN","OLD CITIZEN"))))</f>
        <v>ADULT</v>
      </c>
      <c r="L490" s="1" t="s">
        <v>31</v>
      </c>
      <c r="M490" s="1" t="s">
        <v>47</v>
      </c>
      <c r="N490" s="13">
        <f>VLOOKUP(Table1[[#This Row],[TRANSACTION ID]],'Transaction ID Record'!$C$3:$D$510,2,FALSE)</f>
        <v>12930</v>
      </c>
    </row>
    <row r="491" spans="1:14" x14ac:dyDescent="0.35">
      <c r="A491" s="6" t="str">
        <f>TEXT(Table1[[#This Row],[DATE]],"MMMM")</f>
        <v>December</v>
      </c>
      <c r="B491" s="10">
        <v>44910</v>
      </c>
      <c r="C491" s="1" t="s">
        <v>780</v>
      </c>
      <c r="D491" s="1" t="str">
        <f>UPPER(Table1[[#This Row],[NAME2]])</f>
        <v>OLAOGUN GILBERT</v>
      </c>
      <c r="E491" s="1" t="s">
        <v>44</v>
      </c>
      <c r="F491" s="1" t="s">
        <v>45</v>
      </c>
      <c r="G491" s="1" t="s">
        <v>13</v>
      </c>
      <c r="H491" s="1" t="s">
        <v>46</v>
      </c>
      <c r="I491" s="1" t="s">
        <v>15</v>
      </c>
      <c r="J491" s="9">
        <v>22</v>
      </c>
      <c r="K491" s="1" t="str">
        <f>IF(Table1[[#This Row],[AGE]]&lt;=18,"CHILD",IF(Table1[[#This Row],[AGE]]&lt;=20,"TEEN",IF(Table1[[#This Row],[AGE]]&lt;=40,"ADULT",IF(Table1[[#This Row],[AGE]]&lt;=60,"SENIOR CITIZEN","OLD CITIZEN"))))</f>
        <v>ADULT</v>
      </c>
      <c r="L491" s="1" t="s">
        <v>52</v>
      </c>
      <c r="M491" s="1" t="s">
        <v>61</v>
      </c>
      <c r="N491" s="13">
        <f>VLOOKUP(Table1[[#This Row],[TRANSACTION ID]],'Transaction ID Record'!$C$3:$D$510,2,FALSE)</f>
        <v>80681</v>
      </c>
    </row>
    <row r="492" spans="1:14" x14ac:dyDescent="0.35">
      <c r="A492" s="6" t="str">
        <f>TEXT(Table1[[#This Row],[DATE]],"MMMM")</f>
        <v>December</v>
      </c>
      <c r="B492" s="10">
        <v>44910</v>
      </c>
      <c r="C492" s="1" t="s">
        <v>781</v>
      </c>
      <c r="D492" s="1" t="str">
        <f>UPPER(Table1[[#This Row],[NAME2]])</f>
        <v>ISAAC MATT</v>
      </c>
      <c r="E492" s="1" t="s">
        <v>518</v>
      </c>
      <c r="F492" s="1" t="s">
        <v>519</v>
      </c>
      <c r="G492" s="1" t="s">
        <v>13</v>
      </c>
      <c r="H492" s="1" t="s">
        <v>520</v>
      </c>
      <c r="I492" s="1" t="s">
        <v>30</v>
      </c>
      <c r="J492" s="9">
        <v>74</v>
      </c>
      <c r="K492" s="1" t="str">
        <f>IF(Table1[[#This Row],[AGE]]&lt;=18,"CHILD",IF(Table1[[#This Row],[AGE]]&lt;=20,"TEEN",IF(Table1[[#This Row],[AGE]]&lt;=40,"ADULT",IF(Table1[[#This Row],[AGE]]&lt;=60,"SENIOR CITIZEN","OLD CITIZEN"))))</f>
        <v>OLD CITIZEN</v>
      </c>
      <c r="L492" s="1" t="s">
        <v>66</v>
      </c>
      <c r="M492" s="1" t="s">
        <v>17</v>
      </c>
      <c r="N492" s="13">
        <f>VLOOKUP(Table1[[#This Row],[TRANSACTION ID]],'Transaction ID Record'!$C$3:$D$510,2,FALSE)</f>
        <v>58316</v>
      </c>
    </row>
    <row r="493" spans="1:14" x14ac:dyDescent="0.35">
      <c r="A493" s="6" t="str">
        <f>TEXT(Table1[[#This Row],[DATE]],"MMMM")</f>
        <v>December</v>
      </c>
      <c r="B493" s="10">
        <v>44911</v>
      </c>
      <c r="C493" s="1" t="s">
        <v>782</v>
      </c>
      <c r="D493" s="1" t="str">
        <f>UPPER(Table1[[#This Row],[NAME2]])</f>
        <v>HIROKO PANOVSKY</v>
      </c>
      <c r="E493" s="1" t="s">
        <v>100</v>
      </c>
      <c r="F493" s="1" t="s">
        <v>101</v>
      </c>
      <c r="G493" s="1" t="s">
        <v>13</v>
      </c>
      <c r="H493" s="1" t="s">
        <v>102</v>
      </c>
      <c r="I493" s="1" t="s">
        <v>15</v>
      </c>
      <c r="J493" s="9">
        <v>59</v>
      </c>
      <c r="K493" s="1" t="str">
        <f>IF(Table1[[#This Row],[AGE]]&lt;=18,"CHILD",IF(Table1[[#This Row],[AGE]]&lt;=20,"TEEN",IF(Table1[[#This Row],[AGE]]&lt;=40,"ADULT",IF(Table1[[#This Row],[AGE]]&lt;=60,"SENIOR CITIZEN","OLD CITIZEN"))))</f>
        <v>SENIOR CITIZEN</v>
      </c>
      <c r="L493" s="1" t="s">
        <v>57</v>
      </c>
      <c r="M493" s="1" t="s">
        <v>25</v>
      </c>
      <c r="N493" s="13">
        <f>VLOOKUP(Table1[[#This Row],[TRANSACTION ID]],'Transaction ID Record'!$C$3:$D$510,2,FALSE)</f>
        <v>156416</v>
      </c>
    </row>
    <row r="494" spans="1:14" x14ac:dyDescent="0.35">
      <c r="A494" s="6" t="str">
        <f>TEXT(Table1[[#This Row],[DATE]],"MMMM")</f>
        <v>December</v>
      </c>
      <c r="B494" s="10">
        <v>44911</v>
      </c>
      <c r="C494" s="1" t="s">
        <v>783</v>
      </c>
      <c r="D494" s="1" t="str">
        <f>UPPER(Table1[[#This Row],[NAME2]])</f>
        <v>ADENIYI WEAVER</v>
      </c>
      <c r="E494" s="1" t="s">
        <v>196</v>
      </c>
      <c r="F494" s="1" t="s">
        <v>197</v>
      </c>
      <c r="G494" s="1" t="s">
        <v>13</v>
      </c>
      <c r="H494" s="1" t="s">
        <v>198</v>
      </c>
      <c r="I494" s="1" t="s">
        <v>30</v>
      </c>
      <c r="J494" s="9">
        <v>39</v>
      </c>
      <c r="K494" s="1" t="str">
        <f>IF(Table1[[#This Row],[AGE]]&lt;=18,"CHILD",IF(Table1[[#This Row],[AGE]]&lt;=20,"TEEN",IF(Table1[[#This Row],[AGE]]&lt;=40,"ADULT",IF(Table1[[#This Row],[AGE]]&lt;=60,"SENIOR CITIZEN","OLD CITIZEN"))))</f>
        <v>ADULT</v>
      </c>
      <c r="L494" s="1" t="s">
        <v>151</v>
      </c>
      <c r="M494" s="1" t="s">
        <v>32</v>
      </c>
      <c r="N494" s="13">
        <f>VLOOKUP(Table1[[#This Row],[TRANSACTION ID]],'Transaction ID Record'!$C$3:$D$510,2,FALSE)</f>
        <v>111217</v>
      </c>
    </row>
    <row r="495" spans="1:14" x14ac:dyDescent="0.35">
      <c r="A495" s="6" t="str">
        <f>TEXT(Table1[[#This Row],[DATE]],"MMMM")</f>
        <v>December</v>
      </c>
      <c r="B495" s="10">
        <v>44912</v>
      </c>
      <c r="C495" s="1" t="s">
        <v>784</v>
      </c>
      <c r="D495" s="1" t="str">
        <f>UPPER(Table1[[#This Row],[NAME2]])</f>
        <v>ODUMOSU DUKE</v>
      </c>
      <c r="E495" s="1" t="s">
        <v>59</v>
      </c>
      <c r="F495" s="1" t="s">
        <v>800</v>
      </c>
      <c r="G495" s="1" t="s">
        <v>13</v>
      </c>
      <c r="H495" s="1" t="s">
        <v>60</v>
      </c>
      <c r="I495" s="1" t="s">
        <v>15</v>
      </c>
      <c r="J495" s="9">
        <v>48</v>
      </c>
      <c r="K495" s="1" t="str">
        <f>IF(Table1[[#This Row],[AGE]]&lt;=18,"CHILD",IF(Table1[[#This Row],[AGE]]&lt;=20,"TEEN",IF(Table1[[#This Row],[AGE]]&lt;=40,"ADULT",IF(Table1[[#This Row],[AGE]]&lt;=60,"SENIOR CITIZEN","OLD CITIZEN"))))</f>
        <v>SENIOR CITIZEN</v>
      </c>
      <c r="L495" s="1" t="s">
        <v>42</v>
      </c>
      <c r="M495" s="1" t="s">
        <v>25</v>
      </c>
      <c r="N495" s="13">
        <f>VLOOKUP(Table1[[#This Row],[TRANSACTION ID]],'Transaction ID Record'!$C$3:$D$510,2,FALSE)</f>
        <v>109269</v>
      </c>
    </row>
    <row r="496" spans="1:14" x14ac:dyDescent="0.35">
      <c r="A496" s="6" t="str">
        <f>TEXT(Table1[[#This Row],[DATE]],"MMMM")</f>
        <v>December</v>
      </c>
      <c r="B496" s="10">
        <v>44913</v>
      </c>
      <c r="C496" s="1" t="s">
        <v>785</v>
      </c>
      <c r="D496" s="1" t="str">
        <f>UPPER(Table1[[#This Row],[NAME2]])</f>
        <v>RHONA MITCHELL</v>
      </c>
      <c r="E496" s="1" t="s">
        <v>19</v>
      </c>
      <c r="F496" s="1" t="s">
        <v>20</v>
      </c>
      <c r="G496" s="1" t="s">
        <v>21</v>
      </c>
      <c r="H496" s="1" t="s">
        <v>22</v>
      </c>
      <c r="I496" s="1" t="s">
        <v>23</v>
      </c>
      <c r="J496" s="9">
        <v>72</v>
      </c>
      <c r="K496" s="1" t="str">
        <f>IF(Table1[[#This Row],[AGE]]&lt;=18,"CHILD",IF(Table1[[#This Row],[AGE]]&lt;=20,"TEEN",IF(Table1[[#This Row],[AGE]]&lt;=40,"ADULT",IF(Table1[[#This Row],[AGE]]&lt;=60,"SENIOR CITIZEN","OLD CITIZEN"))))</f>
        <v>OLD CITIZEN</v>
      </c>
      <c r="L496" s="1" t="s">
        <v>42</v>
      </c>
      <c r="M496" s="1" t="s">
        <v>47</v>
      </c>
      <c r="N496" s="13">
        <f>VLOOKUP(Table1[[#This Row],[TRANSACTION ID]],'Transaction ID Record'!$C$3:$D$510,2,FALSE)</f>
        <v>165640</v>
      </c>
    </row>
    <row r="497" spans="1:14" x14ac:dyDescent="0.35">
      <c r="A497" s="6" t="str">
        <f>TEXT(Table1[[#This Row],[DATE]],"MMMM")</f>
        <v>December</v>
      </c>
      <c r="B497" s="10">
        <v>44914</v>
      </c>
      <c r="C497" s="1" t="s">
        <v>786</v>
      </c>
      <c r="D497" s="1" t="str">
        <f>UPPER(Table1[[#This Row],[NAME2]])</f>
        <v>LIBERTY BARNETT</v>
      </c>
      <c r="E497" s="1" t="s">
        <v>205</v>
      </c>
      <c r="F497" s="1" t="s">
        <v>206</v>
      </c>
      <c r="G497" s="1" t="s">
        <v>13</v>
      </c>
      <c r="H497" s="1" t="s">
        <v>207</v>
      </c>
      <c r="I497" s="1" t="s">
        <v>15</v>
      </c>
      <c r="J497" s="9">
        <v>39</v>
      </c>
      <c r="K497" s="1" t="str">
        <f>IF(Table1[[#This Row],[AGE]]&lt;=18,"CHILD",IF(Table1[[#This Row],[AGE]]&lt;=20,"TEEN",IF(Table1[[#This Row],[AGE]]&lt;=40,"ADULT",IF(Table1[[#This Row],[AGE]]&lt;=60,"SENIOR CITIZEN","OLD CITIZEN"))))</f>
        <v>ADULT</v>
      </c>
      <c r="L497" s="1" t="s">
        <v>66</v>
      </c>
      <c r="M497" s="1" t="s">
        <v>47</v>
      </c>
      <c r="N497" s="13">
        <f>VLOOKUP(Table1[[#This Row],[TRANSACTION ID]],'Transaction ID Record'!$C$3:$D$510,2,FALSE)</f>
        <v>111154</v>
      </c>
    </row>
    <row r="498" spans="1:14" x14ac:dyDescent="0.35">
      <c r="A498" s="6" t="str">
        <f>TEXT(Table1[[#This Row],[DATE]],"MMMM")</f>
        <v>December</v>
      </c>
      <c r="B498" s="10">
        <v>44916</v>
      </c>
      <c r="C498" s="1" t="s">
        <v>787</v>
      </c>
      <c r="D498" s="1" t="str">
        <f>UPPER(Table1[[#This Row],[NAME2]])</f>
        <v>ADENIYI TILLMAN</v>
      </c>
      <c r="E498" s="1" t="s">
        <v>178</v>
      </c>
      <c r="F498" s="1" t="s">
        <v>179</v>
      </c>
      <c r="G498" s="1" t="s">
        <v>13</v>
      </c>
      <c r="H498" s="1" t="s">
        <v>180</v>
      </c>
      <c r="I498" s="1" t="s">
        <v>30</v>
      </c>
      <c r="J498" s="9">
        <v>63</v>
      </c>
      <c r="K498" s="1" t="str">
        <f>IF(Table1[[#This Row],[AGE]]&lt;=18,"CHILD",IF(Table1[[#This Row],[AGE]]&lt;=20,"TEEN",IF(Table1[[#This Row],[AGE]]&lt;=40,"ADULT",IF(Table1[[#This Row],[AGE]]&lt;=60,"SENIOR CITIZEN","OLD CITIZEN"))))</f>
        <v>OLD CITIZEN</v>
      </c>
      <c r="L498" s="1" t="s">
        <v>31</v>
      </c>
      <c r="M498" s="1" t="s">
        <v>61</v>
      </c>
      <c r="N498" s="13">
        <f>VLOOKUP(Table1[[#This Row],[TRANSACTION ID]],'Transaction ID Record'!$C$3:$D$510,2,FALSE)</f>
        <v>30887</v>
      </c>
    </row>
    <row r="499" spans="1:14" x14ac:dyDescent="0.35">
      <c r="A499" s="6" t="str">
        <f>TEXT(Table1[[#This Row],[DATE]],"MMMM")</f>
        <v>December</v>
      </c>
      <c r="B499" s="10">
        <v>44917</v>
      </c>
      <c r="C499" s="1" t="s">
        <v>788</v>
      </c>
      <c r="D499" s="1" t="str">
        <f>UPPER(Table1[[#This Row],[NAME2]])</f>
        <v>BAMIDELE ALEXANDER</v>
      </c>
      <c r="E499" s="1" t="s">
        <v>34</v>
      </c>
      <c r="F499" s="1" t="s">
        <v>35</v>
      </c>
      <c r="G499" s="1" t="s">
        <v>13</v>
      </c>
      <c r="H499" s="1" t="s">
        <v>36</v>
      </c>
      <c r="I499" s="1" t="s">
        <v>23</v>
      </c>
      <c r="J499" s="9">
        <v>61</v>
      </c>
      <c r="K499" s="1" t="str">
        <f>IF(Table1[[#This Row],[AGE]]&lt;=18,"CHILD",IF(Table1[[#This Row],[AGE]]&lt;=20,"TEEN",IF(Table1[[#This Row],[AGE]]&lt;=40,"ADULT",IF(Table1[[#This Row],[AGE]]&lt;=60,"SENIOR CITIZEN","OLD CITIZEN"))))</f>
        <v>OLD CITIZEN</v>
      </c>
      <c r="L499" s="1" t="s">
        <v>167</v>
      </c>
      <c r="M499" s="1" t="s">
        <v>47</v>
      </c>
      <c r="N499" s="13">
        <f>VLOOKUP(Table1[[#This Row],[TRANSACTION ID]],'Transaction ID Record'!$C$3:$D$510,2,FALSE)</f>
        <v>188465</v>
      </c>
    </row>
    <row r="500" spans="1:14" x14ac:dyDescent="0.35">
      <c r="A500" s="6" t="str">
        <f>TEXT(Table1[[#This Row],[DATE]],"MMMM")</f>
        <v>December</v>
      </c>
      <c r="B500" s="10">
        <v>44917</v>
      </c>
      <c r="C500" s="1" t="s">
        <v>789</v>
      </c>
      <c r="D500" s="1" t="str">
        <f>UPPER(Table1[[#This Row],[NAME2]])</f>
        <v>WINIFRED OGBONNA</v>
      </c>
      <c r="E500" s="1" t="s">
        <v>647</v>
      </c>
      <c r="F500" s="1" t="s">
        <v>648</v>
      </c>
      <c r="G500" s="1" t="s">
        <v>21</v>
      </c>
      <c r="H500" s="1" t="s">
        <v>649</v>
      </c>
      <c r="I500" s="1" t="s">
        <v>23</v>
      </c>
      <c r="J500" s="9">
        <v>69</v>
      </c>
      <c r="K500" s="1" t="str">
        <f>IF(Table1[[#This Row],[AGE]]&lt;=18,"CHILD",IF(Table1[[#This Row],[AGE]]&lt;=20,"TEEN",IF(Table1[[#This Row],[AGE]]&lt;=40,"ADULT",IF(Table1[[#This Row],[AGE]]&lt;=60,"SENIOR CITIZEN","OLD CITIZEN"))))</f>
        <v>OLD CITIZEN</v>
      </c>
      <c r="L500" s="1" t="s">
        <v>42</v>
      </c>
      <c r="M500" s="1" t="s">
        <v>25</v>
      </c>
      <c r="N500" s="13">
        <f>VLOOKUP(Table1[[#This Row],[TRANSACTION ID]],'Transaction ID Record'!$C$3:$D$510,2,FALSE)</f>
        <v>124486</v>
      </c>
    </row>
    <row r="501" spans="1:14" x14ac:dyDescent="0.35">
      <c r="A501" s="6" t="str">
        <f>TEXT(Table1[[#This Row],[DATE]],"MMMM")</f>
        <v>December</v>
      </c>
      <c r="B501" s="10">
        <v>44918</v>
      </c>
      <c r="C501" s="1" t="s">
        <v>790</v>
      </c>
      <c r="D501" s="1" t="str">
        <f>UPPER(Table1[[#This Row],[NAME2]])</f>
        <v>ATHENA MACDONALD</v>
      </c>
      <c r="E501" s="1" t="s">
        <v>169</v>
      </c>
      <c r="F501" s="1" t="s">
        <v>170</v>
      </c>
      <c r="G501" s="1" t="s">
        <v>13</v>
      </c>
      <c r="H501" s="1" t="s">
        <v>171</v>
      </c>
      <c r="I501" s="1" t="s">
        <v>30</v>
      </c>
      <c r="J501" s="9">
        <v>29</v>
      </c>
      <c r="K501" s="1" t="str">
        <f>IF(Table1[[#This Row],[AGE]]&lt;=18,"CHILD",IF(Table1[[#This Row],[AGE]]&lt;=20,"TEEN",IF(Table1[[#This Row],[AGE]]&lt;=40,"ADULT",IF(Table1[[#This Row],[AGE]]&lt;=60,"SENIOR CITIZEN","OLD CITIZEN"))))</f>
        <v>ADULT</v>
      </c>
      <c r="L501" s="1" t="s">
        <v>66</v>
      </c>
      <c r="M501" s="1" t="s">
        <v>32</v>
      </c>
      <c r="N501" s="13">
        <f>VLOOKUP(Table1[[#This Row],[TRANSACTION ID]],'Transaction ID Record'!$C$3:$D$510,2,FALSE)</f>
        <v>64498</v>
      </c>
    </row>
    <row r="502" spans="1:14" x14ac:dyDescent="0.35">
      <c r="A502" s="6" t="str">
        <f>TEXT(Table1[[#This Row],[DATE]],"MMMM")</f>
        <v>December</v>
      </c>
      <c r="B502" s="10">
        <v>44918</v>
      </c>
      <c r="C502" s="1" t="s">
        <v>791</v>
      </c>
      <c r="D502" s="1" t="str">
        <f>UPPER(Table1[[#This Row],[NAME2]])</f>
        <v>OLAOGUN GILBERT</v>
      </c>
      <c r="E502" s="1" t="s">
        <v>44</v>
      </c>
      <c r="F502" s="1" t="s">
        <v>45</v>
      </c>
      <c r="G502" s="1" t="s">
        <v>13</v>
      </c>
      <c r="H502" s="1" t="s">
        <v>46</v>
      </c>
      <c r="I502" s="1" t="s">
        <v>15</v>
      </c>
      <c r="J502" s="9">
        <v>22</v>
      </c>
      <c r="K502" s="1" t="str">
        <f>IF(Table1[[#This Row],[AGE]]&lt;=18,"CHILD",IF(Table1[[#This Row],[AGE]]&lt;=20,"TEEN",IF(Table1[[#This Row],[AGE]]&lt;=40,"ADULT",IF(Table1[[#This Row],[AGE]]&lt;=60,"SENIOR CITIZEN","OLD CITIZEN"))))</f>
        <v>ADULT</v>
      </c>
      <c r="L502" s="1" t="s">
        <v>151</v>
      </c>
      <c r="M502" s="1" t="s">
        <v>47</v>
      </c>
      <c r="N502" s="13">
        <f>VLOOKUP(Table1[[#This Row],[TRANSACTION ID]],'Transaction ID Record'!$C$3:$D$510,2,FALSE)</f>
        <v>11844</v>
      </c>
    </row>
    <row r="503" spans="1:14" x14ac:dyDescent="0.35">
      <c r="A503" s="6" t="str">
        <f>TEXT(Table1[[#This Row],[DATE]],"MMMM")</f>
        <v>December</v>
      </c>
      <c r="B503" s="10">
        <v>44919</v>
      </c>
      <c r="C503" s="1" t="s">
        <v>792</v>
      </c>
      <c r="D503" s="1" t="str">
        <f>UPPER(Table1[[#This Row],[NAME2]])</f>
        <v>ADEBOLA SOLIS</v>
      </c>
      <c r="E503" s="1" t="s">
        <v>244</v>
      </c>
      <c r="F503" s="1" t="s">
        <v>245</v>
      </c>
      <c r="G503" s="1" t="s">
        <v>21</v>
      </c>
      <c r="H503" s="1" t="s">
        <v>246</v>
      </c>
      <c r="I503" s="1" t="s">
        <v>15</v>
      </c>
      <c r="J503" s="9">
        <v>29</v>
      </c>
      <c r="K503" s="1" t="str">
        <f>IF(Table1[[#This Row],[AGE]]&lt;=18,"CHILD",IF(Table1[[#This Row],[AGE]]&lt;=20,"TEEN",IF(Table1[[#This Row],[AGE]]&lt;=40,"ADULT",IF(Table1[[#This Row],[AGE]]&lt;=60,"SENIOR CITIZEN","OLD CITIZEN"))))</f>
        <v>ADULT</v>
      </c>
      <c r="L503" s="1" t="s">
        <v>52</v>
      </c>
      <c r="M503" s="1" t="s">
        <v>61</v>
      </c>
      <c r="N503" s="13">
        <f>VLOOKUP(Table1[[#This Row],[TRANSACTION ID]],'Transaction ID Record'!$C$3:$D$510,2,FALSE)</f>
        <v>134882</v>
      </c>
    </row>
    <row r="504" spans="1:14" x14ac:dyDescent="0.35">
      <c r="A504" s="6" t="str">
        <f>TEXT(Table1[[#This Row],[DATE]],"MMMM")</f>
        <v>December</v>
      </c>
      <c r="B504" s="10">
        <v>44920</v>
      </c>
      <c r="C504" s="1" t="s">
        <v>793</v>
      </c>
      <c r="D504" s="1" t="str">
        <f>UPPER(Table1[[#This Row],[NAME2]])</f>
        <v>OLAOGUN KIDD</v>
      </c>
      <c r="E504" s="1" t="s">
        <v>133</v>
      </c>
      <c r="F504" s="1" t="s">
        <v>134</v>
      </c>
      <c r="G504" s="1" t="s">
        <v>13</v>
      </c>
      <c r="H504" s="1" t="s">
        <v>135</v>
      </c>
      <c r="I504" s="1" t="s">
        <v>23</v>
      </c>
      <c r="J504" s="9">
        <v>68</v>
      </c>
      <c r="K504" s="1" t="str">
        <f>IF(Table1[[#This Row],[AGE]]&lt;=18,"CHILD",IF(Table1[[#This Row],[AGE]]&lt;=20,"TEEN",IF(Table1[[#This Row],[AGE]]&lt;=40,"ADULT",IF(Table1[[#This Row],[AGE]]&lt;=60,"SENIOR CITIZEN","OLD CITIZEN"))))</f>
        <v>OLD CITIZEN</v>
      </c>
      <c r="L504" s="1" t="s">
        <v>42</v>
      </c>
      <c r="M504" s="1" t="s">
        <v>47</v>
      </c>
      <c r="N504" s="13">
        <f>VLOOKUP(Table1[[#This Row],[TRANSACTION ID]],'Transaction ID Record'!$C$3:$D$510,2,FALSE)</f>
        <v>72529</v>
      </c>
    </row>
    <row r="505" spans="1:14" x14ac:dyDescent="0.35">
      <c r="A505" s="6" t="str">
        <f>TEXT(Table1[[#This Row],[DATE]],"MMMM")</f>
        <v>December</v>
      </c>
      <c r="B505" s="10">
        <v>44921</v>
      </c>
      <c r="C505" s="1" t="s">
        <v>794</v>
      </c>
      <c r="D505" s="1" t="str">
        <f>UPPER(Table1[[#This Row],[NAME2]])</f>
        <v>TEMILADE KNAPP</v>
      </c>
      <c r="E505" s="1" t="s">
        <v>79</v>
      </c>
      <c r="F505" s="1" t="s">
        <v>80</v>
      </c>
      <c r="G505" s="1" t="s">
        <v>21</v>
      </c>
      <c r="H505" s="1" t="s">
        <v>81</v>
      </c>
      <c r="I505" s="1" t="s">
        <v>23</v>
      </c>
      <c r="J505" s="9">
        <v>61</v>
      </c>
      <c r="K505" s="1" t="str">
        <f>IF(Table1[[#This Row],[AGE]]&lt;=18,"CHILD",IF(Table1[[#This Row],[AGE]]&lt;=20,"TEEN",IF(Table1[[#This Row],[AGE]]&lt;=40,"ADULT",IF(Table1[[#This Row],[AGE]]&lt;=60,"SENIOR CITIZEN","OLD CITIZEN"))))</f>
        <v>OLD CITIZEN</v>
      </c>
      <c r="L505" s="1" t="s">
        <v>37</v>
      </c>
      <c r="M505" s="1" t="s">
        <v>61</v>
      </c>
      <c r="N505" s="13">
        <f>VLOOKUP(Table1[[#This Row],[TRANSACTION ID]],'Transaction ID Record'!$C$3:$D$510,2,FALSE)</f>
        <v>60880</v>
      </c>
    </row>
    <row r="506" spans="1:14" x14ac:dyDescent="0.35">
      <c r="A506" s="6" t="str">
        <f>TEXT(Table1[[#This Row],[DATE]],"MMMM")</f>
        <v>December</v>
      </c>
      <c r="B506" s="10">
        <v>44923</v>
      </c>
      <c r="C506" s="1" t="s">
        <v>795</v>
      </c>
      <c r="D506" s="1" t="str">
        <f>UPPER(Table1[[#This Row],[NAME2]])</f>
        <v>BRITTANY BEST</v>
      </c>
      <c r="E506" s="1" t="s">
        <v>54</v>
      </c>
      <c r="F506" s="1" t="s">
        <v>55</v>
      </c>
      <c r="G506" s="1" t="s">
        <v>21</v>
      </c>
      <c r="H506" s="1" t="s">
        <v>56</v>
      </c>
      <c r="I506" s="1" t="s">
        <v>23</v>
      </c>
      <c r="J506" s="9">
        <v>28</v>
      </c>
      <c r="K506" s="1" t="str">
        <f>IF(Table1[[#This Row],[AGE]]&lt;=18,"CHILD",IF(Table1[[#This Row],[AGE]]&lt;=20,"TEEN",IF(Table1[[#This Row],[AGE]]&lt;=40,"ADULT",IF(Table1[[#This Row],[AGE]]&lt;=60,"SENIOR CITIZEN","OLD CITIZEN"))))</f>
        <v>ADULT</v>
      </c>
      <c r="L506" s="1" t="s">
        <v>66</v>
      </c>
      <c r="M506" s="1" t="s">
        <v>25</v>
      </c>
      <c r="N506" s="13">
        <f>VLOOKUP(Table1[[#This Row],[TRANSACTION ID]],'Transaction ID Record'!$C$3:$D$510,2,FALSE)</f>
        <v>109818</v>
      </c>
    </row>
    <row r="507" spans="1:14" x14ac:dyDescent="0.35">
      <c r="A507" s="6" t="str">
        <f>TEXT(Table1[[#This Row],[DATE]],"MMMM")</f>
        <v>December</v>
      </c>
      <c r="B507" s="10">
        <v>44925</v>
      </c>
      <c r="C507" s="1" t="s">
        <v>796</v>
      </c>
      <c r="D507" s="1" t="str">
        <f>UPPER(Table1[[#This Row],[NAME2]])</f>
        <v>ODUMOSU DUKE</v>
      </c>
      <c r="E507" s="1" t="s">
        <v>59</v>
      </c>
      <c r="F507" s="1" t="s">
        <v>800</v>
      </c>
      <c r="G507" s="1" t="s">
        <v>13</v>
      </c>
      <c r="H507" s="1" t="s">
        <v>60</v>
      </c>
      <c r="I507" s="1" t="s">
        <v>15</v>
      </c>
      <c r="J507" s="9">
        <v>48</v>
      </c>
      <c r="K507" s="1" t="str">
        <f>IF(Table1[[#This Row],[AGE]]&lt;=18,"CHILD",IF(Table1[[#This Row],[AGE]]&lt;=20,"TEEN",IF(Table1[[#This Row],[AGE]]&lt;=40,"ADULT",IF(Table1[[#This Row],[AGE]]&lt;=60,"SENIOR CITIZEN","OLD CITIZEN"))))</f>
        <v>SENIOR CITIZEN</v>
      </c>
      <c r="L507" s="1" t="s">
        <v>167</v>
      </c>
      <c r="M507" s="1" t="s">
        <v>25</v>
      </c>
      <c r="N507" s="13">
        <f>VLOOKUP(Table1[[#This Row],[TRANSACTION ID]],'Transaction ID Record'!$C$3:$D$510,2,FALSE)</f>
        <v>90688</v>
      </c>
    </row>
    <row r="508" spans="1:14" x14ac:dyDescent="0.35">
      <c r="A508" s="6" t="str">
        <f>TEXT(Table1[[#This Row],[DATE]],"MMMM")</f>
        <v>December</v>
      </c>
      <c r="B508" s="10">
        <v>44926</v>
      </c>
      <c r="C508" s="1" t="s">
        <v>797</v>
      </c>
      <c r="D508" s="1" t="str">
        <f>UPPER(Table1[[#This Row],[NAME2]])</f>
        <v>LESLY PORTER</v>
      </c>
      <c r="E508" s="1" t="s">
        <v>223</v>
      </c>
      <c r="F508" s="1" t="s">
        <v>224</v>
      </c>
      <c r="G508" s="1" t="s">
        <v>21</v>
      </c>
      <c r="H508" s="1" t="s">
        <v>225</v>
      </c>
      <c r="I508" s="1" t="s">
        <v>30</v>
      </c>
      <c r="J508" s="9">
        <v>68</v>
      </c>
      <c r="K508" s="1" t="str">
        <f>IF(Table1[[#This Row],[AGE]]&lt;=18,"CHILD",IF(Table1[[#This Row],[AGE]]&lt;=20,"TEEN",IF(Table1[[#This Row],[AGE]]&lt;=40,"ADULT",IF(Table1[[#This Row],[AGE]]&lt;=60,"SENIOR CITIZEN","OLD CITIZEN"))))</f>
        <v>OLD CITIZEN</v>
      </c>
      <c r="L508" s="1" t="s">
        <v>151</v>
      </c>
      <c r="M508" s="1" t="s">
        <v>17</v>
      </c>
      <c r="N508" s="13">
        <f>VLOOKUP(Table1[[#This Row],[TRANSACTION ID]],'Transaction ID Record'!$C$3:$D$510,2,FALSE)</f>
        <v>118571</v>
      </c>
    </row>
    <row r="509" spans="1:14" x14ac:dyDescent="0.35">
      <c r="A509" s="6" t="str">
        <f>TEXT(Table1[[#This Row],[DATE]],"MMMM")</f>
        <v>December</v>
      </c>
      <c r="B509" s="10">
        <v>44926</v>
      </c>
      <c r="C509" s="1" t="s">
        <v>798</v>
      </c>
      <c r="D509" s="1" t="str">
        <f>UPPER(Table1[[#This Row],[NAME2]])</f>
        <v>ADENIYI TILLMAN</v>
      </c>
      <c r="E509" s="1" t="s">
        <v>178</v>
      </c>
      <c r="F509" s="1" t="s">
        <v>179</v>
      </c>
      <c r="G509" s="1" t="s">
        <v>13</v>
      </c>
      <c r="H509" s="1" t="s">
        <v>180</v>
      </c>
      <c r="I509" s="1" t="s">
        <v>30</v>
      </c>
      <c r="J509" s="9">
        <v>63</v>
      </c>
      <c r="K509" s="1" t="str">
        <f>IF(Table1[[#This Row],[AGE]]&lt;=18,"CHILD",IF(Table1[[#This Row],[AGE]]&lt;=20,"TEEN",IF(Table1[[#This Row],[AGE]]&lt;=40,"ADULT",IF(Table1[[#This Row],[AGE]]&lt;=60,"SENIOR CITIZEN","OLD CITIZEN"))))</f>
        <v>OLD CITIZEN</v>
      </c>
      <c r="L509" s="1" t="s">
        <v>24</v>
      </c>
      <c r="M509" s="1" t="s">
        <v>47</v>
      </c>
      <c r="N509" s="13">
        <f>VLOOKUP(Table1[[#This Row],[TRANSACTION ID]],'Transaction ID Record'!$C$3:$D$510,2,FALSE)</f>
        <v>17970</v>
      </c>
    </row>
  </sheetData>
  <phoneticPr fontId="4" type="noConversion"/>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6CB32-1A45-4157-8463-A51109E74A00}">
  <dimension ref="A3:B6"/>
  <sheetViews>
    <sheetView zoomScale="80" zoomScaleNormal="80" workbookViewId="0">
      <selection activeCell="L14" sqref="L14"/>
    </sheetView>
  </sheetViews>
  <sheetFormatPr defaultRowHeight="14.5" x14ac:dyDescent="0.35"/>
  <cols>
    <col min="1" max="1" width="13.36328125" bestFit="1" customWidth="1"/>
    <col min="2" max="2" width="24.08984375" bestFit="1" customWidth="1"/>
  </cols>
  <sheetData>
    <row r="3" spans="1:2" x14ac:dyDescent="0.35">
      <c r="A3" s="4" t="s">
        <v>843</v>
      </c>
      <c r="B3" t="s">
        <v>845</v>
      </c>
    </row>
    <row r="4" spans="1:2" x14ac:dyDescent="0.35">
      <c r="A4" s="5" t="s">
        <v>21</v>
      </c>
      <c r="B4">
        <v>242</v>
      </c>
    </row>
    <row r="5" spans="1:2" x14ac:dyDescent="0.35">
      <c r="A5" s="5" t="s">
        <v>13</v>
      </c>
      <c r="B5">
        <v>266</v>
      </c>
    </row>
    <row r="6" spans="1:2" x14ac:dyDescent="0.35">
      <c r="A6" s="5" t="s">
        <v>844</v>
      </c>
      <c r="B6">
        <v>508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BAD38-DC66-4FB7-B5F1-CCA66CDB60E9}">
  <dimension ref="A3:B9"/>
  <sheetViews>
    <sheetView workbookViewId="0">
      <selection activeCell="B18" sqref="B18"/>
    </sheetView>
  </sheetViews>
  <sheetFormatPr defaultRowHeight="14.5" x14ac:dyDescent="0.35"/>
  <cols>
    <col min="1" max="2" width="16.453125" bestFit="1" customWidth="1"/>
  </cols>
  <sheetData>
    <row r="3" spans="1:2" x14ac:dyDescent="0.35">
      <c r="A3" s="4" t="s">
        <v>843</v>
      </c>
      <c r="B3" t="s">
        <v>848</v>
      </c>
    </row>
    <row r="4" spans="1:2" x14ac:dyDescent="0.35">
      <c r="A4" s="5" t="s">
        <v>196</v>
      </c>
      <c r="B4">
        <v>13</v>
      </c>
    </row>
    <row r="5" spans="1:2" x14ac:dyDescent="0.35">
      <c r="A5" s="5" t="s">
        <v>178</v>
      </c>
      <c r="B5">
        <v>14</v>
      </c>
    </row>
    <row r="6" spans="1:2" x14ac:dyDescent="0.35">
      <c r="A6" s="5" t="s">
        <v>244</v>
      </c>
      <c r="B6">
        <v>15</v>
      </c>
    </row>
    <row r="7" spans="1:2" x14ac:dyDescent="0.35">
      <c r="A7" s="5" t="s">
        <v>75</v>
      </c>
      <c r="B7">
        <v>18</v>
      </c>
    </row>
    <row r="8" spans="1:2" x14ac:dyDescent="0.35">
      <c r="A8" s="5" t="s">
        <v>59</v>
      </c>
      <c r="B8">
        <v>21</v>
      </c>
    </row>
    <row r="9" spans="1:2" x14ac:dyDescent="0.35">
      <c r="A9" s="5" t="s">
        <v>844</v>
      </c>
      <c r="B9">
        <v>81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3D02A-8F4B-4CDF-9153-97DFE170CC32}">
  <dimension ref="A3:B16"/>
  <sheetViews>
    <sheetView zoomScale="80" zoomScaleNormal="80" workbookViewId="0">
      <selection activeCell="P28" sqref="P28"/>
    </sheetView>
  </sheetViews>
  <sheetFormatPr defaultRowHeight="14.5" x14ac:dyDescent="0.35"/>
  <cols>
    <col min="1" max="1" width="13.36328125" bestFit="1" customWidth="1"/>
    <col min="2" max="2" width="15.90625" bestFit="1" customWidth="1"/>
  </cols>
  <sheetData>
    <row r="3" spans="1:2" x14ac:dyDescent="0.35">
      <c r="A3" s="4" t="s">
        <v>843</v>
      </c>
      <c r="B3" t="s">
        <v>847</v>
      </c>
    </row>
    <row r="4" spans="1:2" x14ac:dyDescent="0.35">
      <c r="A4" s="5" t="s">
        <v>850</v>
      </c>
      <c r="B4" s="12">
        <v>4366612</v>
      </c>
    </row>
    <row r="5" spans="1:2" x14ac:dyDescent="0.35">
      <c r="A5" s="5" t="s">
        <v>851</v>
      </c>
      <c r="B5" s="12">
        <v>4263845</v>
      </c>
    </row>
    <row r="6" spans="1:2" x14ac:dyDescent="0.35">
      <c r="A6" s="5" t="s">
        <v>852</v>
      </c>
      <c r="B6" s="12">
        <v>4818651</v>
      </c>
    </row>
    <row r="7" spans="1:2" x14ac:dyDescent="0.35">
      <c r="A7" s="5" t="s">
        <v>853</v>
      </c>
      <c r="B7" s="12">
        <v>2941880</v>
      </c>
    </row>
    <row r="8" spans="1:2" x14ac:dyDescent="0.35">
      <c r="A8" s="5" t="s">
        <v>854</v>
      </c>
      <c r="B8" s="12">
        <v>4807860</v>
      </c>
    </row>
    <row r="9" spans="1:2" x14ac:dyDescent="0.35">
      <c r="A9" s="5" t="s">
        <v>855</v>
      </c>
      <c r="B9" s="12">
        <v>4670933</v>
      </c>
    </row>
    <row r="10" spans="1:2" x14ac:dyDescent="0.35">
      <c r="A10" s="5" t="s">
        <v>856</v>
      </c>
      <c r="B10" s="12">
        <v>3877417</v>
      </c>
    </row>
    <row r="11" spans="1:2" x14ac:dyDescent="0.35">
      <c r="A11" s="5" t="s">
        <v>857</v>
      </c>
      <c r="B11" s="12">
        <v>5426980</v>
      </c>
    </row>
    <row r="12" spans="1:2" x14ac:dyDescent="0.35">
      <c r="A12" s="5" t="s">
        <v>858</v>
      </c>
      <c r="B12" s="12">
        <v>3249630</v>
      </c>
    </row>
    <row r="13" spans="1:2" x14ac:dyDescent="0.35">
      <c r="A13" s="5" t="s">
        <v>859</v>
      </c>
      <c r="B13" s="12">
        <v>3791836</v>
      </c>
    </row>
    <row r="14" spans="1:2" x14ac:dyDescent="0.35">
      <c r="A14" s="5" t="s">
        <v>860</v>
      </c>
      <c r="B14" s="12">
        <v>3558668</v>
      </c>
    </row>
    <row r="15" spans="1:2" x14ac:dyDescent="0.35">
      <c r="A15" s="5" t="s">
        <v>861</v>
      </c>
      <c r="B15" s="12">
        <v>3728138</v>
      </c>
    </row>
    <row r="16" spans="1:2" x14ac:dyDescent="0.35">
      <c r="A16" s="5" t="s">
        <v>844</v>
      </c>
      <c r="B16" s="12">
        <v>49502450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AB94D-84D4-4A7E-97BF-DD452C30B565}">
  <dimension ref="A3:B9"/>
  <sheetViews>
    <sheetView zoomScale="80" zoomScaleNormal="80" workbookViewId="0">
      <selection activeCell="M24" sqref="M24"/>
    </sheetView>
  </sheetViews>
  <sheetFormatPr defaultRowHeight="14.5" x14ac:dyDescent="0.35"/>
  <cols>
    <col min="1" max="1" width="14.54296875" bestFit="1" customWidth="1"/>
    <col min="2" max="2" width="15.90625" style="8" bestFit="1" customWidth="1"/>
  </cols>
  <sheetData>
    <row r="3" spans="1:2" x14ac:dyDescent="0.35">
      <c r="A3" s="4" t="s">
        <v>843</v>
      </c>
      <c r="B3" s="8" t="s">
        <v>847</v>
      </c>
    </row>
    <row r="4" spans="1:2" x14ac:dyDescent="0.35">
      <c r="A4" s="5" t="s">
        <v>862</v>
      </c>
      <c r="B4" s="8">
        <v>18433996</v>
      </c>
    </row>
    <row r="5" spans="1:2" x14ac:dyDescent="0.35">
      <c r="A5" s="5" t="s">
        <v>863</v>
      </c>
      <c r="B5" s="8">
        <v>15102278</v>
      </c>
    </row>
    <row r="6" spans="1:2" x14ac:dyDescent="0.35">
      <c r="A6" s="5" t="s">
        <v>864</v>
      </c>
      <c r="B6" s="8">
        <v>14218644</v>
      </c>
    </row>
    <row r="7" spans="1:2" x14ac:dyDescent="0.35">
      <c r="A7" s="5" t="s">
        <v>865</v>
      </c>
      <c r="B7" s="8">
        <v>1747532</v>
      </c>
    </row>
    <row r="8" spans="1:2" x14ac:dyDescent="0.35">
      <c r="A8" s="5" t="s">
        <v>844</v>
      </c>
      <c r="B8" s="8">
        <v>49502450</v>
      </c>
    </row>
    <row r="9" spans="1:2" x14ac:dyDescent="0.35">
      <c r="B9"/>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A9EF8-9BFE-4CDA-BEB3-5C0D06006912}">
  <dimension ref="A1"/>
  <sheetViews>
    <sheetView tabSelected="1" topLeftCell="A4" zoomScale="80" zoomScaleNormal="80" workbookViewId="0">
      <selection activeCell="X10" sqref="X10"/>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DEPOSITD BY PAYMENT METHOD</vt:lpstr>
      <vt:lpstr>Sheet4</vt:lpstr>
      <vt:lpstr>Raw Data </vt:lpstr>
      <vt:lpstr>Transaction ID Record</vt:lpstr>
      <vt:lpstr>DEPOSITE BY BANK</vt:lpstr>
      <vt:lpstr>CLEANED DATA</vt:lpstr>
      <vt:lpstr>DEPOSITE BY GENDER</vt:lpstr>
      <vt:lpstr>TOP FIVE CUSTOMER</vt:lpstr>
      <vt:lpstr>DEPOSITE PAYMENT ACROSS MONTH</vt:lpstr>
      <vt:lpstr>DEPOSITE PER  AGE GROUP</vt:lpstr>
      <vt:lpstr>DASHBOARD</vt:lpstr>
      <vt:lpstr>Deposite_recored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RUTH</cp:lastModifiedBy>
  <dcterms:created xsi:type="dcterms:W3CDTF">2025-07-27T15:44:42Z</dcterms:created>
  <dcterms:modified xsi:type="dcterms:W3CDTF">2026-04-15T20:57:26Z</dcterms:modified>
</cp:coreProperties>
</file>